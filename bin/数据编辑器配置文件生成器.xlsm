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Client\Public\版本管理\"/>
    </mc:Choice>
  </mc:AlternateContent>
  <bookViews>
    <workbookView xWindow="-435" yWindow="60" windowWidth="4620" windowHeight="7365" firstSheet="3" activeTab="4"/>
  </bookViews>
  <sheets>
    <sheet name="函数" sheetId="7" state="hidden" r:id="rId1"/>
    <sheet name="配置" sheetId="4" state="hidden" r:id="rId2"/>
    <sheet name="Script.dat" sheetId="8" state="hidden" r:id="rId3"/>
    <sheet name="新表配置" sheetId="9" r:id="rId4"/>
    <sheet name="表的具体内容" sheetId="5" r:id="rId5"/>
    <sheet name="脚本输出成文件" sheetId="6" r:id="rId6"/>
  </sheets>
  <functionGroups builtInGroupCount="18"/>
  <calcPr calcId="152511"/>
</workbook>
</file>

<file path=xl/calcChain.xml><?xml version="1.0" encoding="utf-8"?>
<calcChain xmlns="http://schemas.openxmlformats.org/spreadsheetml/2006/main">
  <c r="G4" i="5" l="1"/>
  <c r="F4" i="6" l="1"/>
  <c r="F3" i="6" l="1"/>
  <c r="F2" i="6"/>
  <c r="F12" i="6" l="1"/>
</calcChain>
</file>

<file path=xl/sharedStrings.xml><?xml version="1.0" encoding="utf-8"?>
<sst xmlns="http://schemas.openxmlformats.org/spreadsheetml/2006/main" count="3127" uniqueCount="1435">
  <si>
    <t>ID</t>
    <phoneticPr fontId="1" type="noConversion"/>
  </si>
  <si>
    <t>作用</t>
  </si>
  <si>
    <t>作用</t>
    <phoneticPr fontId="1" type="noConversion"/>
  </si>
  <si>
    <t>相对地址</t>
    <phoneticPr fontId="1" type="noConversion"/>
  </si>
  <si>
    <t>函数示例</t>
    <phoneticPr fontId="1" type="noConversion"/>
  </si>
  <si>
    <t>参数1</t>
    <phoneticPr fontId="1" type="noConversion"/>
  </si>
  <si>
    <t>参数2</t>
  </si>
  <si>
    <t>参数3</t>
  </si>
  <si>
    <t>参数4</t>
  </si>
  <si>
    <t>参数5</t>
  </si>
  <si>
    <t>参数6</t>
  </si>
  <si>
    <t>参数7</t>
  </si>
  <si>
    <t>参数8</t>
  </si>
  <si>
    <t>中文名</t>
    <phoneticPr fontId="1" type="noConversion"/>
  </si>
  <si>
    <t>有效参数个数</t>
    <phoneticPr fontId="1" type="noConversion"/>
  </si>
  <si>
    <t>翻译起始行</t>
  </si>
  <si>
    <t>翻译起始行</t>
    <phoneticPr fontId="1" type="noConversion"/>
  </si>
  <si>
    <t>翻译终止行</t>
  </si>
  <si>
    <t>翻译终止行</t>
    <phoneticPr fontId="1" type="noConversion"/>
  </si>
  <si>
    <t>注释</t>
    <phoneticPr fontId="1" type="noConversion"/>
  </si>
  <si>
    <t>文本</t>
    <phoneticPr fontId="1" type="noConversion"/>
  </si>
  <si>
    <t>本地路径</t>
    <phoneticPr fontId="1" type="noConversion"/>
  </si>
  <si>
    <t>format(STRING内容)</t>
    <phoneticPr fontId="1" type="noConversion"/>
  </si>
  <si>
    <t>LuaFnTalkInFight( sceneId, selfId, "", 文本)</t>
    <phoneticPr fontId="1" type="noConversion"/>
  </si>
  <si>
    <t>参数9</t>
  </si>
  <si>
    <t>参数10</t>
  </si>
  <si>
    <t>参数11</t>
  </si>
  <si>
    <t>参数12</t>
  </si>
  <si>
    <t>参数13</t>
  </si>
  <si>
    <t>参数14</t>
  </si>
  <si>
    <t>参数15</t>
  </si>
  <si>
    <t>参数16</t>
  </si>
  <si>
    <t>参数17</t>
  </si>
  <si>
    <t>参数18</t>
  </si>
  <si>
    <t>参数19</t>
  </si>
  <si>
    <t>参数20</t>
  </si>
  <si>
    <t>说话</t>
    <phoneticPr fontId="1" type="noConversion"/>
  </si>
  <si>
    <t xml:space="preserve">	</t>
  </si>
  <si>
    <t>STRING内容</t>
    <phoneticPr fontId="1" type="noConversion"/>
  </si>
  <si>
    <t>文本</t>
    <phoneticPr fontId="1" type="noConversion"/>
  </si>
  <si>
    <t>整体缩进参数</t>
    <phoneticPr fontId="1" type="noConversion"/>
  </si>
  <si>
    <t>本行缩进参数</t>
    <phoneticPr fontId="1" type="noConversion"/>
  </si>
  <si>
    <t/>
  </si>
  <si>
    <t xml:space="preserve">
</t>
    <phoneticPr fontId="1" type="noConversion"/>
  </si>
  <si>
    <t>脚本ID</t>
    <phoneticPr fontId="1" type="noConversion"/>
  </si>
  <si>
    <t>备注</t>
    <phoneticPr fontId="1" type="noConversion"/>
  </si>
  <si>
    <t>3、后边一页可以直接输出文件到当前Excel路径</t>
    <phoneticPr fontId="1" type="noConversion"/>
  </si>
  <si>
    <t>2、可以转译代码在此处预览</t>
    <phoneticPr fontId="1" type="noConversion"/>
  </si>
  <si>
    <t>表起始</t>
    <phoneticPr fontId="1" type="noConversion"/>
  </si>
  <si>
    <t>表结束</t>
    <phoneticPr fontId="1" type="noConversion"/>
  </si>
  <si>
    <t>&lt;?xml version="1.0" encoding="utf-8"?&gt;</t>
  </si>
  <si>
    <t>&lt;DB name="mz" charset="utf8"&gt;</t>
  </si>
  <si>
    <t>&lt;driver name="com.mysql.jdbc.Driver" dbsys="MySQL" sqlmaker="mutabledb.SqlMakerMySQL"/&gt;</t>
  </si>
  <si>
    <t>&lt;connection url="jdbc:mysql://localhost:3316/mz?useUnicode=true&amp;amp;characterEncoding=utf8&amp;amp;autoReconnect=true" username="mzeditor" password="I7p6r7KvOhctKHujNvkm" poolsize="10"/&gt;</t>
  </si>
  <si>
    <t>&lt;/table&gt;</t>
  </si>
  <si>
    <t>_组名_</t>
    <phoneticPr fontId="1" type="noConversion"/>
  </si>
  <si>
    <t>INT列</t>
    <phoneticPr fontId="1" type="noConversion"/>
  </si>
  <si>
    <t>_最大值_</t>
    <phoneticPr fontId="1" type="noConversion"/>
  </si>
  <si>
    <t>_最小值_</t>
    <phoneticPr fontId="1" type="noConversion"/>
  </si>
  <si>
    <t>_表名英文_</t>
    <phoneticPr fontId="1" type="noConversion"/>
  </si>
  <si>
    <t>_表名中文_</t>
    <phoneticPr fontId="1" type="noConversion"/>
  </si>
  <si>
    <t>&lt;table name="_表名英文_" alias="_表名中文_" catalog="_组名_" operate="create" invisible="false" virtual="/Config"&gt;</t>
    <phoneticPr fontId="1" type="noConversion"/>
  </si>
  <si>
    <t>_列名中文_</t>
    <phoneticPr fontId="1" type="noConversion"/>
  </si>
  <si>
    <t>_列名英文_</t>
    <phoneticPr fontId="1" type="noConversion"/>
  </si>
  <si>
    <t>STRING列</t>
    <phoneticPr fontId="1" type="noConversion"/>
  </si>
  <si>
    <t>_字符长度_</t>
    <phoneticPr fontId="1" type="noConversion"/>
  </si>
  <si>
    <t>FLOAT列</t>
    <phoneticPr fontId="1" type="noConversion"/>
  </si>
  <si>
    <t>_默认值_</t>
    <phoneticPr fontId="1" type="noConversion"/>
  </si>
  <si>
    <t>&lt;column name="_列名英文_" alias="_列名中文_" type="integer" not-null="true" readonly="false" range="_最小值_,_最大值_" default="_默认值_" /&gt;</t>
    <phoneticPr fontId="1" type="noConversion"/>
  </si>
  <si>
    <t>&lt;column name="_列名英文_" alias="_列名中文_" type="float" not-null="true" readonly="false" range="_最小值_,_最大值_" default="_默认值_" /&gt;</t>
    <phoneticPr fontId="1" type="noConversion"/>
  </si>
  <si>
    <t xml:space="preserve">   INT列(c1,索引ID,-1,99999999,1)</t>
    <phoneticPr fontId="1" type="noConversion"/>
  </si>
  <si>
    <t>索引列</t>
    <phoneticPr fontId="1" type="noConversion"/>
  </si>
  <si>
    <t>文本</t>
    <phoneticPr fontId="1" type="noConversion"/>
  </si>
  <si>
    <t>&lt;column name="_列名英文_" alias="_列名中文_" type="refid" not-null="true" readonly="false" table="文本" default="_默认值_" /&gt;</t>
    <phoneticPr fontId="1" type="noConversion"/>
  </si>
  <si>
    <t>"</t>
    <phoneticPr fontId="1" type="noConversion"/>
  </si>
  <si>
    <t>&lt;column name="_列名英文_" alias="_列名中文_" type="string" not-null="false" readonly="false" length="_字符长度_" default="文本" /&gt;</t>
    <phoneticPr fontId="1" type="noConversion"/>
  </si>
  <si>
    <t>_英文Key_</t>
    <phoneticPr fontId="1" type="noConversion"/>
  </si>
  <si>
    <t xml:space="preserve">  &lt;primarykey name="id" column="_英文Key_"/&gt;
&lt;/table&gt;</t>
    <phoneticPr fontId="1" type="noConversion"/>
  </si>
  <si>
    <t xml:space="preserve">  &lt;primarykey name="id" column="c1"/&gt;</t>
  </si>
  <si>
    <t>&lt;primarykey name="id" column="c1"/&gt;</t>
  </si>
  <si>
    <t>test2.xml</t>
    <phoneticPr fontId="1" type="noConversion"/>
  </si>
  <si>
    <t>复选列</t>
    <phoneticPr fontId="1" type="noConversion"/>
  </si>
  <si>
    <t>&lt;column name="_列名英文_" alias="_列名中文_" type="enum" not-null="true" readonly="false" value="文本" default="_默认值_" /&gt;</t>
    <phoneticPr fontId="1" type="noConversion"/>
  </si>
  <si>
    <t>&lt;column name="_列名英文_" alias="_列名中文_" type="set" not-null="true" readonly="false" value="文本" default="_默认值_" /&gt;</t>
    <phoneticPr fontId="1" type="noConversion"/>
  </si>
  <si>
    <t>单选列</t>
    <phoneticPr fontId="1" type="noConversion"/>
  </si>
  <si>
    <t xml:space="preserve"> </t>
    <phoneticPr fontId="1" type="noConversion"/>
  </si>
  <si>
    <t>&lt;/DB&gt;</t>
  </si>
  <si>
    <t xml:space="preserve">   STRING列(c2,物品名称,16,"隐藏物品")</t>
    <phoneticPr fontId="1" type="noConversion"/>
  </si>
  <si>
    <t xml:space="preserve">   FLOAT列(c3,测试浮点,0,10000,5000)</t>
    <phoneticPr fontId="1" type="noConversion"/>
  </si>
  <si>
    <t xml:space="preserve">   索引列(c4,测试索引物品表,gem,-1)</t>
    <phoneticPr fontId="1" type="noConversion"/>
  </si>
  <si>
    <t xml:space="preserve">   索引列(c5,测试多表索引,"equip,gem",-1)</t>
    <phoneticPr fontId="1" type="noConversion"/>
  </si>
  <si>
    <t xml:space="preserve">   单选列(c6,测试单选,"星期日,星期1,星期2,星期3,星期4,星期5,星期6",2)</t>
    <phoneticPr fontId="1" type="noConversion"/>
  </si>
  <si>
    <t xml:space="preserve">   复选列(c7,测试复选,"星期日,星期1,星期2,星期3,星期4,星期5,星期6",3)</t>
    <phoneticPr fontId="1" type="noConversion"/>
  </si>
  <si>
    <t>类型</t>
    <phoneticPr fontId="1" type="noConversion"/>
  </si>
  <si>
    <t>STRING</t>
  </si>
  <si>
    <t>INT</t>
  </si>
  <si>
    <t>FLOAT</t>
  </si>
  <si>
    <t>索引</t>
  </si>
  <si>
    <t>单选</t>
  </si>
  <si>
    <t>复选</t>
  </si>
  <si>
    <t>英文列名</t>
    <phoneticPr fontId="1" type="noConversion"/>
  </si>
  <si>
    <t>c1</t>
    <phoneticPr fontId="1" type="noConversion"/>
  </si>
  <si>
    <t>c2</t>
  </si>
  <si>
    <t>c3</t>
  </si>
  <si>
    <t>c4</t>
  </si>
  <si>
    <t>c5</t>
  </si>
  <si>
    <t>c6</t>
  </si>
  <si>
    <t>c7</t>
  </si>
  <si>
    <t>最小值</t>
    <phoneticPr fontId="1" type="noConversion"/>
  </si>
  <si>
    <t>最大值</t>
    <phoneticPr fontId="1" type="noConversion"/>
  </si>
  <si>
    <t>中文列名</t>
    <phoneticPr fontId="1" type="noConversion"/>
  </si>
  <si>
    <t>索引ID</t>
  </si>
  <si>
    <t>物品名称</t>
  </si>
  <si>
    <t>测试浮点</t>
  </si>
  <si>
    <t>测试索引物品表</t>
  </si>
  <si>
    <t>测试多表索引</t>
  </si>
  <si>
    <t>测试单选</t>
  </si>
  <si>
    <t>星期日,星期1,星期2,星期3,星期4,星期5,星期6</t>
  </si>
  <si>
    <t>测试复选</t>
  </si>
  <si>
    <t>选择内容</t>
    <phoneticPr fontId="1" type="noConversion"/>
  </si>
  <si>
    <t>默认值</t>
    <phoneticPr fontId="1" type="noConversion"/>
  </si>
  <si>
    <t>itembase</t>
    <phoneticPr fontId="1" type="noConversion"/>
  </si>
  <si>
    <t>equip,gem</t>
    <phoneticPr fontId="1" type="noConversion"/>
  </si>
  <si>
    <t>""</t>
    <phoneticPr fontId="1" type="noConversion"/>
  </si>
  <si>
    <t>输出行号</t>
    <phoneticPr fontId="1" type="noConversion"/>
  </si>
  <si>
    <t>星期日,星期1,星期2,星期3,星期4,星期5,星期6</t>
    <phoneticPr fontId="1" type="noConversion"/>
  </si>
  <si>
    <t>c7</t>
    <phoneticPr fontId="1" type="noConversion"/>
  </si>
  <si>
    <t>测试相关</t>
    <phoneticPr fontId="1" type="noConversion"/>
  </si>
  <si>
    <t>测试主表</t>
    <phoneticPr fontId="1" type="noConversion"/>
  </si>
  <si>
    <t>测试副表1</t>
    <phoneticPr fontId="1" type="noConversion"/>
  </si>
  <si>
    <t>maintest</t>
    <phoneticPr fontId="1" type="noConversion"/>
  </si>
  <si>
    <t>test001</t>
    <phoneticPr fontId="1" type="noConversion"/>
  </si>
  <si>
    <t>test002</t>
    <phoneticPr fontId="1" type="noConversion"/>
  </si>
  <si>
    <t>测试副表2</t>
    <phoneticPr fontId="1" type="noConversion"/>
  </si>
  <si>
    <t xml:space="preserve">   INT列(c1,索引ID,0,99999999,1)</t>
  </si>
  <si>
    <t>表结束(c1)</t>
  </si>
  <si>
    <t>test001,test002</t>
    <phoneticPr fontId="1" type="noConversion"/>
  </si>
  <si>
    <t>表起始(maintest,测试主表,测试相关)</t>
    <phoneticPr fontId="1" type="noConversion"/>
  </si>
  <si>
    <t>itembase</t>
    <phoneticPr fontId="1" type="noConversion"/>
  </si>
  <si>
    <t>基础物品表</t>
    <phoneticPr fontId="1" type="noConversion"/>
  </si>
  <si>
    <t>道具相关</t>
    <phoneticPr fontId="1" type="noConversion"/>
  </si>
  <si>
    <t>获得时优先进入包裹</t>
    <phoneticPr fontId="1" type="noConversion"/>
  </si>
  <si>
    <t>可进入那些包裹</t>
  </si>
  <si>
    <t>物品类型</t>
  </si>
  <si>
    <t>物品描述</t>
  </si>
  <si>
    <t>物品颜色</t>
  </si>
  <si>
    <t>物品使用等级</t>
  </si>
  <si>
    <t>购买需求类型</t>
  </si>
  <si>
    <t>购买需求数量</t>
  </si>
  <si>
    <t>出售价格</t>
  </si>
  <si>
    <r>
      <t>扩展数据</t>
    </r>
    <r>
      <rPr>
        <sz val="10.5"/>
        <color theme="1"/>
        <rFont val="Calibri"/>
        <family val="2"/>
      </rPr>
      <t>1</t>
    </r>
  </si>
  <si>
    <r>
      <t>扩展数据</t>
    </r>
    <r>
      <rPr>
        <sz val="10.5"/>
        <color theme="1"/>
        <rFont val="Calibri"/>
        <family val="2"/>
      </rPr>
      <t>2</t>
    </r>
  </si>
  <si>
    <r>
      <t>扩展数据</t>
    </r>
    <r>
      <rPr>
        <sz val="10.5"/>
        <color theme="1"/>
        <rFont val="Calibri"/>
        <family val="2"/>
      </rPr>
      <t>3</t>
    </r>
  </si>
  <si>
    <r>
      <t>扩展数据</t>
    </r>
    <r>
      <rPr>
        <sz val="10.5"/>
        <color theme="1"/>
        <rFont val="Calibri"/>
        <family val="2"/>
      </rPr>
      <t>4</t>
    </r>
  </si>
  <si>
    <t>最大堆叠数量</t>
    <phoneticPr fontId="1" type="noConversion"/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</si>
  <si>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</si>
  <si>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</si>
  <si>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</si>
  <si>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</si>
  <si>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</si>
  <si>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</si>
  <si>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</si>
  <si>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</si>
  <si>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</si>
  <si>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INT</t>
    <phoneticPr fontId="1" type="noConversion"/>
  </si>
  <si>
    <r>
      <t>包裹</t>
    </r>
    <r>
      <rPr>
        <sz val="10.5"/>
        <color theme="1"/>
        <rFont val="Calibri"/>
        <family val="2"/>
      </rPr>
      <t>ID</t>
    </r>
  </si>
  <si>
    <t>包裹名称</t>
  </si>
  <si>
    <t>包裹容量</t>
  </si>
  <si>
    <t>最大容量</t>
  </si>
  <si>
    <t>bagbase</t>
    <phoneticPr fontId="1" type="noConversion"/>
  </si>
  <si>
    <t>colorbase</t>
    <phoneticPr fontId="1" type="noConversion"/>
  </si>
  <si>
    <t>通用配置</t>
    <phoneticPr fontId="1" type="noConversion"/>
  </si>
  <si>
    <t>颜色表</t>
    <phoneticPr fontId="1" type="noConversion"/>
  </si>
  <si>
    <r>
      <t>颜色</t>
    </r>
    <r>
      <rPr>
        <sz val="10.5"/>
        <color theme="1"/>
        <rFont val="Calibri"/>
        <family val="2"/>
      </rPr>
      <t>ID</t>
    </r>
    <phoneticPr fontId="1" type="noConversion"/>
  </si>
  <si>
    <t>颜色备注</t>
    <phoneticPr fontId="1" type="noConversion"/>
  </si>
  <si>
    <t>红R</t>
    <phoneticPr fontId="1" type="noConversion"/>
  </si>
  <si>
    <t>绿G</t>
    <phoneticPr fontId="1" type="noConversion"/>
  </si>
  <si>
    <t>蓝B</t>
    <phoneticPr fontId="1" type="noConversion"/>
  </si>
  <si>
    <t>透明A</t>
    <phoneticPr fontId="1" type="noConversion"/>
  </si>
  <si>
    <t>itemtype</t>
    <phoneticPr fontId="1" type="noConversion"/>
  </si>
  <si>
    <t>基础类型表</t>
    <phoneticPr fontId="1" type="noConversion"/>
  </si>
  <si>
    <t>类型名称</t>
    <phoneticPr fontId="1" type="noConversion"/>
  </si>
  <si>
    <t>未命名包裹</t>
    <phoneticPr fontId="1" type="noConversion"/>
  </si>
  <si>
    <t>未命名颜色</t>
    <phoneticPr fontId="1" type="noConversion"/>
  </si>
  <si>
    <t>未命名道具</t>
    <phoneticPr fontId="1" type="noConversion"/>
  </si>
  <si>
    <t>未命名类型</t>
    <phoneticPr fontId="1" type="noConversion"/>
  </si>
  <si>
    <t>itemtype</t>
    <phoneticPr fontId="1" type="noConversion"/>
  </si>
  <si>
    <t>未描述</t>
    <phoneticPr fontId="1" type="noConversion"/>
  </si>
  <si>
    <t xml:space="preserve">   INT列(c1,包裹ID,0,31,1)</t>
  </si>
  <si>
    <t xml:space="preserve">   STRING列(c2,包裹名称,16,未命名包裹)</t>
  </si>
  <si>
    <t xml:space="preserve">   INT列(c3,包裹容量,1,9999,1)</t>
  </si>
  <si>
    <t xml:space="preserve">   INT列(c4,最大容量,1,10000,1)</t>
  </si>
  <si>
    <t>表起始(itemtype,基础类型表,道具相关)</t>
  </si>
  <si>
    <t xml:space="preserve">   STRING列(c2,类型名称,16,未命名类型)</t>
  </si>
  <si>
    <t>表起始(itembase,基础物品表,道具相关)</t>
  </si>
  <si>
    <t xml:space="preserve">   STRING列(c2,物品名称,16,未命名道具)</t>
  </si>
  <si>
    <t xml:space="preserve">   INT列(c5,最大堆叠数量,-1,9999,1)</t>
  </si>
  <si>
    <t xml:space="preserve">   STRING列(c7,物品描述,256,未描述)</t>
  </si>
  <si>
    <t xml:space="preserve">   INT列(c9,物品使用等级,0,9999,0)</t>
  </si>
  <si>
    <t xml:space="preserve">   INT列(c11,购买需求数量,0,999999999,0)</t>
  </si>
  <si>
    <t xml:space="preserve">   INT列(c12,出售价格,-1,999999999,-1)</t>
  </si>
  <si>
    <t xml:space="preserve">   INT列(c13,扩展数据1,-1,999999999,-1)</t>
  </si>
  <si>
    <t xml:space="preserve">   INT列(c14,扩展数据2,-1,999999999,-1)</t>
  </si>
  <si>
    <t xml:space="preserve">   INT列(c15,扩展数据3,-1,999999999,-1)</t>
  </si>
  <si>
    <t xml:space="preserve">   INT列(c16,扩展数据4,-1,999999999,-1)</t>
  </si>
  <si>
    <t>&lt;table name="maintest" alias="测试主表" catalog="测试相关" operate="create" invisible="false" virtual="/Config"&gt;</t>
  </si>
  <si>
    <t xml:space="preserve">  &lt;column name="c1" alias="索引ID" type="integer" not-null="true" readonly="false" range="0,99999999" default="1" /&gt;</t>
  </si>
  <si>
    <t xml:space="preserve">  &lt;column name="c2" alias="物品名称" type="string" not-null="false" readonly="false" length="16" default="" /&gt;</t>
  </si>
  <si>
    <t xml:space="preserve">  &lt;column name="c3" alias="测试浮点" type="float" not-null="true" readonly="false" range="0,99999999" default="0" /&gt;</t>
  </si>
  <si>
    <t xml:space="preserve">  &lt;column name="c4" alias="测试索引物品表" type="refid" not-null="true" readonly="false" table="test002" default="-1" /&gt;</t>
  </si>
  <si>
    <t xml:space="preserve">  &lt;column name="c5" alias="测试多表索引" type="refid" not-null="true" readonly="false" table="test001,test002" default="-1" /&gt;</t>
  </si>
  <si>
    <t xml:space="preserve">  &lt;column name="c6" alias="测试单选" type="enum" not-null="true" readonly="false" value="星期日,星期1,星期2,星期3,星期4,星期5,星期6" default="0" /&gt;</t>
  </si>
  <si>
    <t xml:space="preserve">  &lt;column name="c7" alias="测试复选" type="set" not-null="true" readonly="false" value="星期日,星期1,星期2,星期3,星期4,星期5,星期6" default="0" /&gt;</t>
  </si>
  <si>
    <t>&lt;table name="test001" alias="测试副表1" catalog="测试相关" operate="create" invisible="false" virtual="/Config"&gt;</t>
  </si>
  <si>
    <t>&lt;table name="test002" alias="测试副表2" catalog="测试相关" operate="create" invisible="false" virtual="/Config"&gt;</t>
  </si>
  <si>
    <t>&lt;table name="colorbase" alias="颜色表" catalog="通用配置" operate="create" invisible="false" virtual="/Config"&gt;</t>
  </si>
  <si>
    <t xml:space="preserve">  &lt;column name="c1" alias="颜色ID" type="integer" not-null="true" readonly="false" range="0,31" default="1" /&gt;</t>
  </si>
  <si>
    <t xml:space="preserve">  &lt;column name="c2" alias="颜色备注" type="string" not-null="false" readonly="false" length="16" default="未命名颜色" /&gt;</t>
  </si>
  <si>
    <t xml:space="preserve">  &lt;column name="c3" alias="红R" type="integer" not-null="true" readonly="false" range="0,255" default="255" /&gt;</t>
  </si>
  <si>
    <t xml:space="preserve">  &lt;column name="c4" alias="绿G" type="integer" not-null="true" readonly="false" range="0,255" default="255" /&gt;</t>
  </si>
  <si>
    <t xml:space="preserve">  &lt;column name="c5" alias="蓝B" type="integer" not-null="true" readonly="false" range="0,255" default="255" /&gt;</t>
  </si>
  <si>
    <t xml:space="preserve">  &lt;column name="c6" alias="透明A" type="integer" not-null="true" readonly="false" range="0,255" default="255" /&gt;</t>
  </si>
  <si>
    <t xml:space="preserve">  &lt;column name="c1" alias="包裹ID" type="integer" not-null="true" readonly="false" range="0,31" default="1" /&gt;</t>
  </si>
  <si>
    <t xml:space="preserve">  &lt;column name="c2" alias="包裹名称" type="string" not-null="false" readonly="false" length="16" default="未命名包裹" /&gt;</t>
  </si>
  <si>
    <t xml:space="preserve">  &lt;column name="c3" alias="包裹容量" type="integer" not-null="true" readonly="false" range="1,9999" default="1" /&gt;</t>
  </si>
  <si>
    <t xml:space="preserve">  &lt;column name="c4" alias="最大容量" type="integer" not-null="true" readonly="false" range="1,10000" default="1" /&gt;</t>
  </si>
  <si>
    <t>&lt;table name="itemtype" alias="基础类型表" catalog="道具相关" operate="create" invisible="false" virtual="/Config"&gt;</t>
  </si>
  <si>
    <t xml:space="preserve">  &lt;column name="c2" alias="类型名称" type="string" not-null="false" readonly="false" length="16" default="未命名类型" /&gt;</t>
  </si>
  <si>
    <t>&lt;table name="itembase" alias="基础物品表" catalog="道具相关" operate="create" invisible="false" virtual="/Config"&gt;</t>
  </si>
  <si>
    <t xml:space="preserve">  &lt;column name="c2" alias="物品名称" type="string" not-null="false" readonly="false" length="16" default="未命名道具" /&gt;</t>
  </si>
  <si>
    <t xml:space="preserve">  &lt;column name="c5" alias="最大堆叠数量" type="integer" not-null="true" readonly="false" range="-1,9999" default="1" /&gt;</t>
  </si>
  <si>
    <t xml:space="preserve">  &lt;column name="c7" alias="物品描述" type="string" not-null="false" readonly="false" length="256" default="未描述" /&gt;</t>
  </si>
  <si>
    <t xml:space="preserve">  &lt;column name="c9" alias="物品使用等级" type="integer" not-null="true" readonly="false" range="0,9999" default="0" /&gt;</t>
  </si>
  <si>
    <t xml:space="preserve">  &lt;column name="c11" alias="购买需求数量" type="integer" not-null="true" readonly="false" range="0,999999999" default="0" /&gt;</t>
  </si>
  <si>
    <t xml:space="preserve">  &lt;column name="c12" alias="出售价格" type="integer" not-null="true" readonly="false" range="-1,999999999" default="-1" /&gt;</t>
  </si>
  <si>
    <t xml:space="preserve">  &lt;column name="c13" alias="扩展数据1" type="integer" not-null="true" readonly="false" range="-1,999999999" default="-1" /&gt;</t>
  </si>
  <si>
    <t xml:space="preserve">  &lt;column name="c14" alias="扩展数据2" type="integer" not-null="true" readonly="false" range="-1,999999999" default="-1" /&gt;</t>
  </si>
  <si>
    <t xml:space="preserve">  &lt;column name="c15" alias="扩展数据3" type="integer" not-null="true" readonly="false" range="-1,999999999" default="-1" /&gt;</t>
  </si>
  <si>
    <t xml:space="preserve">  &lt;column name="c16" alias="扩展数据4" type="integer" not-null="true" readonly="false" range="-1,999999999" default="-1" /&gt;</t>
  </si>
  <si>
    <t xml:space="preserve">   索引列(c3,获得时优先进入包裹,"bagbase",-1)</t>
  </si>
  <si>
    <t xml:space="preserve">   索引列(c6,物品类型,"itemtype",-1)</t>
  </si>
  <si>
    <t xml:space="preserve">   索引列(c10,购买需求类型,"itembase",-1)</t>
  </si>
  <si>
    <t xml:space="preserve">  &lt;column name="c3" alias="获得时优先进入包裹" type="refid" not-null="true" readonly="false" table="bagbase" default="-1" /&gt;</t>
  </si>
  <si>
    <t xml:space="preserve">  &lt;column name="c6" alias="物品类型" type="refid" not-null="true" readonly="false" table="itemtype" default="-1" /&gt;</t>
  </si>
  <si>
    <t xml:space="preserve">  &lt;column name="c10" alias="购买需求类型" type="refid" not-null="true" readonly="false" table="itembase" default="-1" /&gt;</t>
  </si>
  <si>
    <t xml:space="preserve">   索引列(c8,物品颜色,"colorbase",0)</t>
  </si>
  <si>
    <t xml:space="preserve">  &lt;column name="c8" alias="物品颜色" type="refid" not-null="true" readonly="false" table="colorbase" default="0" /&gt;</t>
  </si>
  <si>
    <t>基础包裹表</t>
    <phoneticPr fontId="1" type="noConversion"/>
  </si>
  <si>
    <t>表起始(bagbase,基础包裹表,道具相关)</t>
  </si>
  <si>
    <t>&lt;table name="bagbase" alias="基础包裹表" catalog="道具相关" operate="create" invisible="false" virtual="/Config"&gt;</t>
  </si>
  <si>
    <t>装备包裹,道具包裹,碎片包裹,任务包裹,__暂留1,__暂留2,__暂留3,头盔,项链,耳环,护肩,胸甲,腰带,戒指,手套,裤子,靴子,饰品,翅膀,主手,副手</t>
    <phoneticPr fontId="1" type="noConversion"/>
  </si>
  <si>
    <t xml:space="preserve">   复选列(c4,可进入那些包裹,"装备包裹,道具包裹,碎片包裹,任务包裹,__暂留1,__暂留2,__暂留3,头盔,项链,耳环,护肩,胸甲,腰带,戒指,手套,裤子,靴子,饰品,翅膀,主手,副手",0)</t>
  </si>
  <si>
    <t xml:space="preserve">  &lt;column name="c4" alias="可进入那些包裹" type="set" not-null="true" readonly="false" value="装备包裹,道具包裹,碎片包裹,任务包裹,__暂留1,__暂留2,__暂留3,头盔,项链,耳环,护肩,胸甲,腰带,戒指,手套,裤子,靴子,饰品,翅膀,主手,副手" default="0" /&gt;</t>
  </si>
  <si>
    <t>INT</t>
    <phoneticPr fontId="1" type="noConversion"/>
  </si>
  <si>
    <t>索引ID</t>
    <phoneticPr fontId="1" type="noConversion"/>
  </si>
  <si>
    <t>c1</t>
    <phoneticPr fontId="1" type="noConversion"/>
  </si>
  <si>
    <t>STRING</t>
    <phoneticPr fontId="1" type="noConversion"/>
  </si>
  <si>
    <t>角色属性相关</t>
    <phoneticPr fontId="1" type="noConversion"/>
  </si>
  <si>
    <t>角色名称</t>
    <phoneticPr fontId="1" type="noConversion"/>
  </si>
  <si>
    <t>等级</t>
    <phoneticPr fontId="1" type="noConversion"/>
  </si>
  <si>
    <t>力量</t>
    <phoneticPr fontId="1" type="noConversion"/>
  </si>
  <si>
    <t>敏捷</t>
    <phoneticPr fontId="1" type="noConversion"/>
  </si>
  <si>
    <t>智力</t>
    <phoneticPr fontId="1" type="noConversion"/>
  </si>
  <si>
    <t>耐力</t>
    <phoneticPr fontId="1" type="noConversion"/>
  </si>
  <si>
    <t>攻击</t>
    <phoneticPr fontId="1" type="noConversion"/>
  </si>
  <si>
    <t>生命值</t>
    <phoneticPr fontId="1" type="noConversion"/>
  </si>
  <si>
    <t>法力值</t>
    <phoneticPr fontId="1" type="noConversion"/>
  </si>
  <si>
    <t>物理护甲</t>
    <phoneticPr fontId="1" type="noConversion"/>
  </si>
  <si>
    <t>法术抗性</t>
    <phoneticPr fontId="1" type="noConversion"/>
  </si>
  <si>
    <t>暴击伤害</t>
    <phoneticPr fontId="1" type="noConversion"/>
  </si>
  <si>
    <t>移动速度</t>
    <phoneticPr fontId="1" type="noConversion"/>
  </si>
  <si>
    <t>命中等级</t>
    <phoneticPr fontId="1" type="noConversion"/>
  </si>
  <si>
    <t>闪避等级</t>
    <phoneticPr fontId="1" type="noConversion"/>
  </si>
  <si>
    <t>暴击等级</t>
    <phoneticPr fontId="1" type="noConversion"/>
  </si>
  <si>
    <t>韧性等级</t>
    <phoneticPr fontId="1" type="noConversion"/>
  </si>
  <si>
    <t>命中率</t>
    <phoneticPr fontId="1" type="noConversion"/>
  </si>
  <si>
    <t>闪避率</t>
    <phoneticPr fontId="1" type="noConversion"/>
  </si>
  <si>
    <t>暴击率</t>
    <phoneticPr fontId="1" type="noConversion"/>
  </si>
  <si>
    <t>韧性率</t>
    <phoneticPr fontId="1" type="noConversion"/>
  </si>
  <si>
    <t>怒气</t>
    <phoneticPr fontId="1" type="noConversion"/>
  </si>
  <si>
    <t>c17</t>
  </si>
  <si>
    <t>c18</t>
  </si>
  <si>
    <t>c19</t>
  </si>
  <si>
    <t>c20</t>
  </si>
  <si>
    <t>c21</t>
  </si>
  <si>
    <t>c22</t>
  </si>
  <si>
    <t>c23</t>
  </si>
  <si>
    <t>c24</t>
  </si>
  <si>
    <t>索引</t>
    <phoneticPr fontId="1" type="noConversion"/>
  </si>
  <si>
    <t>基础技能表</t>
    <phoneticPr fontId="1" type="noConversion"/>
  </si>
  <si>
    <t>基础角色表</t>
    <phoneticPr fontId="1" type="noConversion"/>
  </si>
  <si>
    <t>角色技能相关</t>
    <phoneticPr fontId="1" type="noConversion"/>
  </si>
  <si>
    <t>BUFFID</t>
    <phoneticPr fontId="1" type="noConversion"/>
  </si>
  <si>
    <t>c2</t>
    <phoneticPr fontId="1" type="noConversion"/>
  </si>
  <si>
    <t>单选</t>
    <phoneticPr fontId="1" type="noConversion"/>
  </si>
  <si>
    <t>效果逻辑表</t>
    <phoneticPr fontId="1" type="noConversion"/>
  </si>
  <si>
    <t>未命名技能</t>
    <phoneticPr fontId="1" type="noConversion"/>
  </si>
  <si>
    <t>动作文件路径</t>
    <phoneticPr fontId="1" type="noConversion"/>
  </si>
  <si>
    <t>技能描述</t>
    <phoneticPr fontId="1" type="noConversion"/>
  </si>
  <si>
    <t>0,1</t>
    <phoneticPr fontId="1" type="noConversion"/>
  </si>
  <si>
    <t>持续时间</t>
    <phoneticPr fontId="1" type="noConversion"/>
  </si>
  <si>
    <t>BUFF名称</t>
    <phoneticPr fontId="1" type="noConversion"/>
  </si>
  <si>
    <t>未命名buff</t>
    <phoneticPr fontId="1" type="noConversion"/>
  </si>
  <si>
    <t>逻辑类型表</t>
    <phoneticPr fontId="1" type="noConversion"/>
  </si>
  <si>
    <t>buff类型id</t>
    <phoneticPr fontId="1" type="noConversion"/>
  </si>
  <si>
    <t>逻辑名称</t>
    <phoneticPr fontId="1" type="noConversion"/>
  </si>
  <si>
    <t>参数1描述</t>
    <phoneticPr fontId="1" type="noConversion"/>
  </si>
  <si>
    <t>参数2描述</t>
    <phoneticPr fontId="1" type="noConversion"/>
  </si>
  <si>
    <t>参数3描述</t>
    <phoneticPr fontId="1" type="noConversion"/>
  </si>
  <si>
    <t xml:space="preserve">   INT列(c1,索引ID,0,99999999,1)</t>
    <phoneticPr fontId="1" type="noConversion"/>
  </si>
  <si>
    <t xml:space="preserve">   STRING列(c2,物品名称,16,"")</t>
    <phoneticPr fontId="1" type="noConversion"/>
  </si>
  <si>
    <t xml:space="preserve">   FLOAT列(c3,测试浮点,0,99999999,0)</t>
    <phoneticPr fontId="1" type="noConversion"/>
  </si>
  <si>
    <t xml:space="preserve">   索引列(c4,测试索引物品表,"test002",-1)</t>
    <phoneticPr fontId="1" type="noConversion"/>
  </si>
  <si>
    <t xml:space="preserve">   索引列(c5,测试多表索引,"test001,test002",-1)</t>
    <phoneticPr fontId="1" type="noConversion"/>
  </si>
  <si>
    <t xml:space="preserve">   单选列(c6,测试单选,"星期日,星期1,星期2,星期3,星期4,星期5,星期6",0)</t>
    <phoneticPr fontId="1" type="noConversion"/>
  </si>
  <si>
    <t xml:space="preserve">   复选列(c7,测试复选,"星期日,星期1,星期2,星期3,星期4,星期5,星期6",0)</t>
    <phoneticPr fontId="1" type="noConversion"/>
  </si>
  <si>
    <t>表结束(c1)</t>
    <phoneticPr fontId="1" type="noConversion"/>
  </si>
  <si>
    <t>表起始(test001,测试副表1,测试相关)</t>
    <phoneticPr fontId="1" type="noConversion"/>
  </si>
  <si>
    <t>表起始(test002,测试副表2,测试相关)</t>
    <phoneticPr fontId="1" type="noConversion"/>
  </si>
  <si>
    <t>表起始(colorbase,颜色表,通用配置)</t>
    <phoneticPr fontId="1" type="noConversion"/>
  </si>
  <si>
    <t xml:space="preserve">   INT列(c1,颜色ID,0,31,1)</t>
    <phoneticPr fontId="1" type="noConversion"/>
  </si>
  <si>
    <t xml:space="preserve">   STRING列(c2,颜色备注,16,未命名颜色)</t>
    <phoneticPr fontId="1" type="noConversion"/>
  </si>
  <si>
    <t xml:space="preserve">   INT列(c3,红R,0,255,255)</t>
    <phoneticPr fontId="1" type="noConversion"/>
  </si>
  <si>
    <t xml:space="preserve">   INT列(c4,绿G,0,255,255)</t>
    <phoneticPr fontId="1" type="noConversion"/>
  </si>
  <si>
    <t xml:space="preserve">   INT列(c5,蓝B,0,255,255)</t>
    <phoneticPr fontId="1" type="noConversion"/>
  </si>
  <si>
    <t xml:space="preserve">   INT列(c6,透明A,0,255,255)</t>
    <phoneticPr fontId="1" type="noConversion"/>
  </si>
  <si>
    <t>表起始(bagbase,基础包裹表,道具相关)</t>
    <phoneticPr fontId="1" type="noConversion"/>
  </si>
  <si>
    <t xml:space="preserve">   INT列(c1,包裹ID,0,31,1)</t>
    <phoneticPr fontId="1" type="noConversion"/>
  </si>
  <si>
    <t xml:space="preserve">   STRING列(c2,包裹名称,16,未命名包裹)</t>
    <phoneticPr fontId="1" type="noConversion"/>
  </si>
  <si>
    <t xml:space="preserve">   INT列(c3,包裹容量,1,9999,1)</t>
    <phoneticPr fontId="1" type="noConversion"/>
  </si>
  <si>
    <t xml:space="preserve">   INT列(c4,最大容量,1,10000,1)</t>
    <phoneticPr fontId="1" type="noConversion"/>
  </si>
  <si>
    <t>表起始(itemtype,基础类型表,道具相关)</t>
    <phoneticPr fontId="1" type="noConversion"/>
  </si>
  <si>
    <t xml:space="preserve">   STRING列(c2,类型名称,16,未命名类型)</t>
    <phoneticPr fontId="1" type="noConversion"/>
  </si>
  <si>
    <t>表起始(itembase,基础物品表,道具相关)</t>
    <phoneticPr fontId="1" type="noConversion"/>
  </si>
  <si>
    <t xml:space="preserve">   STRING列(c2,物品名称,16,未命名道具)</t>
    <phoneticPr fontId="1" type="noConversion"/>
  </si>
  <si>
    <t xml:space="preserve">   索引列(c3,获得时优先进入包裹,"bagbase",-1)</t>
    <phoneticPr fontId="1" type="noConversion"/>
  </si>
  <si>
    <t xml:space="preserve">   复选列(c4,可进入那些包裹,"装备包裹,道具包裹,碎片包裹,任务包裹,__暂留1,__暂留2,__暂留3,头盔,项链,耳环,护肩,胸甲,腰带,戒指,手套,裤子,靴子,饰品,翅膀,主手,副手",0)</t>
    <phoneticPr fontId="1" type="noConversion"/>
  </si>
  <si>
    <t>表结束(c1)</t>
    <phoneticPr fontId="1" type="noConversion"/>
  </si>
  <si>
    <t>&lt;table name="actor" alias="基础角色表" catalog="角色属性相关" operate="create" invisible="false" virtual="/Config"&gt;</t>
  </si>
  <si>
    <t xml:space="preserve">  &lt;column name="c3" alias="等级" type="integer" not-null="true" readonly="false" range="0,99999999" default="1" /&gt;</t>
  </si>
  <si>
    <t xml:space="preserve">  &lt;column name="c4" alias="力量" type="integer" not-null="true" readonly="false" range="0,99999999" default="1" /&gt;</t>
  </si>
  <si>
    <t xml:space="preserve">  &lt;column name="c5" alias="敏捷" type="integer" not-null="true" readonly="false" range="0,99999999" default="1" /&gt;</t>
  </si>
  <si>
    <t xml:space="preserve">  &lt;column name="c6" alias="智力" type="integer" not-null="true" readonly="false" range="0,99999999" default="1" /&gt;</t>
  </si>
  <si>
    <t xml:space="preserve">  &lt;column name="c7" alias="耐力" type="integer" not-null="true" readonly="false" range="0,99999999" default="1" /&gt;</t>
  </si>
  <si>
    <t xml:space="preserve">  &lt;column name="c8" alias="攻击" type="integer" not-null="true" readonly="false" range="0,99999999" default="1" /&gt;</t>
  </si>
  <si>
    <t xml:space="preserve">  &lt;column name="c9" alias="生命值" type="integer" not-null="true" readonly="false" range="0,99999999" default="1" /&gt;</t>
  </si>
  <si>
    <t xml:space="preserve">  &lt;column name="c10" alias="法力值" type="integer" not-null="true" readonly="false" range="0,99999999" default="1" /&gt;</t>
  </si>
  <si>
    <t xml:space="preserve">  &lt;column name="c11" alias="物理护甲" type="integer" not-null="true" readonly="false" range="0,99999999" default="1" /&gt;</t>
  </si>
  <si>
    <t xml:space="preserve">  &lt;column name="c12" alias="法术抗性" type="integer" not-null="true" readonly="false" range="0,99999999" default="1" /&gt;</t>
  </si>
  <si>
    <t xml:space="preserve">  &lt;column name="c13" alias="暴击伤害" type="integer" not-null="true" readonly="false" range="0,99999999" default="1" /&gt;</t>
  </si>
  <si>
    <t xml:space="preserve">  &lt;column name="c14" alias="移动速度" type="integer" not-null="true" readonly="false" range="0,99999999" default="1" /&gt;</t>
  </si>
  <si>
    <t xml:space="preserve">  &lt;column name="c15" alias="命中等级" type="integer" not-null="true" readonly="false" range="0,99999999" default="1" /&gt;</t>
  </si>
  <si>
    <t xml:space="preserve">  &lt;column name="c16" alias="闪避等级" type="integer" not-null="true" readonly="false" range="0,99999999" default="1" /&gt;</t>
  </si>
  <si>
    <t xml:space="preserve">  &lt;column name="c17" alias="暴击等级" type="integer" not-null="true" readonly="false" range="0,99999999" default="1" /&gt;</t>
  </si>
  <si>
    <t xml:space="preserve">  &lt;column name="c18" alias="韧性等级" type="integer" not-null="true" readonly="false" range="0,99999999" default="1" /&gt;</t>
  </si>
  <si>
    <t xml:space="preserve">  &lt;column name="c19" alias="命中率" type="integer" not-null="true" readonly="false" range="0,99999999" default="1" /&gt;</t>
  </si>
  <si>
    <t xml:space="preserve">  &lt;column name="c20" alias="闪避率" type="integer" not-null="true" readonly="false" range="0,99999999" default="1" /&gt;</t>
  </si>
  <si>
    <t xml:space="preserve">  &lt;column name="c21" alias="暴击率" type="integer" not-null="true" readonly="false" range="0,99999999" default="1" /&gt;</t>
  </si>
  <si>
    <t xml:space="preserve">  &lt;column name="c22" alias="韧性率" type="integer" not-null="true" readonly="false" range="0,99999999" default="1" /&gt;</t>
  </si>
  <si>
    <t xml:space="preserve">  &lt;column name="c23" alias="怒气" type="integer" not-null="true" readonly="false" range="0,99999999" default="1" /&gt;</t>
  </si>
  <si>
    <t>&lt;table name="skill" alias="基础技能表" catalog="角色技能相关" operate="create" invisible="false" virtual="/Config"&gt;</t>
  </si>
  <si>
    <t xml:space="preserve">  &lt;column name="c1" alias="技能ID" type="integer" not-null="true" readonly="false" range="0,99999999" default="1" /&gt;</t>
  </si>
  <si>
    <t xml:space="preserve">  &lt;column name="c5" alias="后续技能" type="integer" not-null="true" readonly="false" range="-1,99999999" default="-1" /&gt;</t>
  </si>
  <si>
    <t xml:space="preserve">  &lt;column name="c6" alias="技能消耗" type="integer" not-null="true" readonly="false" range="-1,99999999" default="-1" /&gt;</t>
  </si>
  <si>
    <t xml:space="preserve">  &lt;column name="c7" alias="技能冷却" type="integer" not-null="true" readonly="false" range="-1,99999999" default="-1" /&gt;</t>
  </si>
  <si>
    <t xml:space="preserve">  &lt;column name="c10" alias="技能前摇（僵直）" type="integer" not-null="true" readonly="false" range="0,99999999" default="0" /&gt;</t>
  </si>
  <si>
    <t xml:space="preserve">  &lt;column name="c11" alias="技能动作时间" type="integer" not-null="true" readonly="false" range="0,99999999" default="0" /&gt;</t>
  </si>
  <si>
    <t xml:space="preserve">  &lt;column name="c13" alias="范围参数1" type="integer" not-null="true" readonly="false" range="-1,99999999" default="-1" /&gt;</t>
  </si>
  <si>
    <t xml:space="preserve">  &lt;column name="c14" alias="范围参数2" type="integer" not-null="true" readonly="false" range="-1,99999999" default="-1" /&gt;</t>
  </si>
  <si>
    <t xml:space="preserve">  &lt;column name="c16" alias="同时生效技能" type="integer" not-null="true" readonly="false" range="-1,99999999" default="-1" /&gt;</t>
  </si>
  <si>
    <t xml:space="preserve">  &lt;column name="c17" alias="天赋影响BUFF" type="integer" not-null="true" readonly="false" range="-1,99999999" default="-1" /&gt;</t>
  </si>
  <si>
    <t xml:space="preserve">  &lt;column name="c18" alias="引导时间" type="integer" not-null="true" readonly="false" range="-1,99999999" default="-1" /&gt;</t>
  </si>
  <si>
    <t xml:space="preserve">  &lt;column name="c19" alias="是否可移动" type="integer" not-null="true" readonly="false" range="-1,99999999" default="-1" /&gt;</t>
  </si>
  <si>
    <t>&lt;table name="buff" alias="效果逻辑表" catalog="角色技能相关" operate="create" invisible="false" virtual="/Config"&gt;</t>
  </si>
  <si>
    <t xml:space="preserve">  &lt;column name="c1" alias="BUFFID" type="integer" not-null="true" readonly="false" range="0,99999999" default="1" /&gt;</t>
  </si>
  <si>
    <t xml:space="preserve">  &lt;column name="c2" alias="技能名称" type="string" not-null="false" readonly="false" length="16" default="未命名技能" /&gt;</t>
  </si>
  <si>
    <t xml:space="preserve">  &lt;column name="c9" alias="动作文件" type="string" not-null="false" readonly="false" length="16" default="动作文件路径" /&gt;</t>
  </si>
  <si>
    <t xml:space="preserve">  &lt;column name="c20" alias="BUFFID" type="refid" not-null="true" readonly="false" table="buff" default="-1" /&gt;</t>
  </si>
  <si>
    <t xml:space="preserve">  &lt;column name="c21" alias="BUFF生效间隔" type="integer" not-null="true" readonly="false" range="-1,99999999" default="-1" /&gt;</t>
  </si>
  <si>
    <t xml:space="preserve">  &lt;column name="c22" alias="BUFF生效总时长" type="integer" not-null="true" readonly="false" range="-1,99999999" default="-1" /&gt;</t>
  </si>
  <si>
    <t>以角色为底边的长方形,以角色为圆心的扇形,当前目标,当前目标和角色为两底边的长方形,当前目标为圆心的圆形,自身,当前目标和角色中线为中心的扇形,依次寻找最近的目标攻击</t>
  </si>
  <si>
    <t>技能类型表</t>
    <phoneticPr fontId="1" type="noConversion"/>
  </si>
  <si>
    <t>技能类型ID</t>
    <phoneticPr fontId="1" type="noConversion"/>
  </si>
  <si>
    <t>技能类型说明</t>
    <phoneticPr fontId="1" type="noConversion"/>
  </si>
  <si>
    <t xml:space="preserve">  &lt;column name="c2" alias="BUFF名称" type="string" not-null="false" readonly="false" length="16" default="未命名buff" /&gt;</t>
  </si>
  <si>
    <t xml:space="preserve">  &lt;column name="c3" alias="持续时间" type="integer" not-null="true" readonly="false" range="-1,99999999" default="-1" /&gt;</t>
  </si>
  <si>
    <t xml:space="preserve">  &lt;column name="c2" alias="逻辑名称" type="string" not-null="false" readonly="false" length="16" default="" /&gt;</t>
  </si>
  <si>
    <t xml:space="preserve">  &lt;column name="c3" alias="参数1描述" type="string" not-null="false" readonly="false" length="16" default="" /&gt;</t>
  </si>
  <si>
    <t xml:space="preserve">  &lt;column name="c4" alias="参数2描述" type="string" not-null="false" readonly="false" length="16" default="" /&gt;</t>
  </si>
  <si>
    <t xml:space="preserve">  &lt;column name="c5" alias="参数3描述" type="string" not-null="false" readonly="false" length="16" default="" /&gt;</t>
  </si>
  <si>
    <t xml:space="preserve">  &lt;column name="c6" alias="参数4描述" type="string" not-null="false" readonly="false" length="16" default="" /&gt;</t>
  </si>
  <si>
    <t xml:space="preserve">  &lt;column name="c2" alias="技能类型说明" type="string" not-null="false" readonly="false" length="16" default="" /&gt;</t>
  </si>
  <si>
    <t>0,1,2</t>
    <phoneticPr fontId="1" type="noConversion"/>
  </si>
  <si>
    <t>c25</t>
  </si>
  <si>
    <t>c26</t>
  </si>
  <si>
    <t>c27</t>
  </si>
  <si>
    <t xml:space="preserve">  &lt;column name="c4" alias="技能类型" type="refid" not-null="true" readonly="false" table="skilltype" default="-1" /&gt;</t>
  </si>
  <si>
    <t>&lt;table name="bufflogic" alias="逻辑类型表" catalog="角色技能相关" operate="create" invisible="false" virtual="/Config"&gt;</t>
  </si>
  <si>
    <t xml:space="preserve">  &lt;column name="c24" alias="普通攻击技能ID" type="refid" not-null="true" readonly="false" table="skill" default="-1" /&gt;</t>
  </si>
  <si>
    <t xml:space="preserve">  &lt;column name="c12" alias="技能范围类型" type="enum" not-null="true" readonly="false" value="以角色为底边的长方形,以角色为圆心的扇形,当前目标,当前目标和角色为两底边的长方形,当前目标为圆心的圆形,自身,当前目标和角色中线为中心的扇形,依次寻找最近的目标攻击" default="0" /&gt;</t>
  </si>
  <si>
    <t xml:space="preserve">  &lt;column name="c1" alias="buff类型id" type="integer" not-null="true" readonly="false" range="0,99999999" default="1" /&gt;</t>
  </si>
  <si>
    <t xml:space="preserve">  &lt;column name="c1" alias="技能类型ID" type="integer" not-null="true" readonly="false" range="0,99999999" default="1" /&gt;</t>
  </si>
  <si>
    <t xml:space="preserve">  &lt;column name="c5" alias="BUFF1触发点" type="enum" not-null="true" readonly="false" value="即时触发,死亡后触发" default="0" /&gt;</t>
  </si>
  <si>
    <t xml:space="preserve">  &lt;column name="c6" alias="1参数1" type="integer" not-null="true" readonly="false" range="-1,99999999" default="-1" /&gt;</t>
  </si>
  <si>
    <t xml:space="preserve">  &lt;column name="c7" alias="1参数2" type="integer" not-null="true" readonly="false" range="-1,99999999" default="-1" /&gt;</t>
  </si>
  <si>
    <t xml:space="preserve">  &lt;column name="c8" alias="1参数3" type="integer" not-null="true" readonly="false" range="-1,99999999" default="-1" /&gt;</t>
  </si>
  <si>
    <t xml:space="preserve">  &lt;column name="c9" alias="1参数4" type="integer" not-null="true" readonly="false" range="-1,99999999" default="-1" /&gt;</t>
  </si>
  <si>
    <t xml:space="preserve">  &lt;column name="c11" alias="BUFF2触发点" type="enum" not-null="true" readonly="false" value="即时触发,死亡后触发" default="0" /&gt;</t>
  </si>
  <si>
    <t xml:space="preserve">  &lt;column name="c12" alias="2参数1" type="integer" not-null="true" readonly="false" range="-1,99999999" default="-1" /&gt;</t>
  </si>
  <si>
    <t xml:space="preserve">  &lt;column name="c13" alias="2参数2" type="integer" not-null="true" readonly="false" range="-1,99999999" default="-1" /&gt;</t>
  </si>
  <si>
    <t xml:space="preserve">  &lt;column name="c14" alias="2参数3" type="integer" not-null="true" readonly="false" range="-1,99999999" default="-1" /&gt;</t>
  </si>
  <si>
    <t xml:space="preserve">  &lt;column name="c15" alias="2参数4" type="integer" not-null="true" readonly="false" range="-1,99999999" default="-1" /&gt;</t>
  </si>
  <si>
    <t xml:space="preserve">  &lt;column name="c17" alias="BUFF3触发点" type="enum" not-null="true" readonly="false" value="即时触发,死亡后触发" default="0" /&gt;</t>
  </si>
  <si>
    <t xml:space="preserve">  &lt;column name="c18" alias="3参数1" type="integer" not-null="true" readonly="false" range="-1,99999999" default="-1" /&gt;</t>
  </si>
  <si>
    <t xml:space="preserve">  &lt;column name="c19" alias="3参数2" type="integer" not-null="true" readonly="false" range="-1,99999999" default="-1" /&gt;</t>
  </si>
  <si>
    <t xml:space="preserve">  &lt;column name="c20" alias="3参数3" type="integer" not-null="true" readonly="false" range="-1,99999999" default="-1" /&gt;</t>
  </si>
  <si>
    <t xml:space="preserve">  &lt;column name="c21" alias="3参数4" type="integer" not-null="true" readonly="false" range="-1,99999999" default="-1" /&gt;</t>
  </si>
  <si>
    <t xml:space="preserve">  &lt;column name="c23" alias="BUFF4触发点" type="enum" not-null="true" readonly="false" value="即时触发,死亡后触发" default="0" /&gt;</t>
  </si>
  <si>
    <t xml:space="preserve">  &lt;column name="c24" alias="4参数1" type="integer" not-null="true" readonly="false" range="-1,99999999" default="-1" /&gt;</t>
  </si>
  <si>
    <t xml:space="preserve">  &lt;column name="c25" alias="4参数2" type="integer" not-null="true" readonly="false" range="-1,99999999" default="-1" /&gt;</t>
  </si>
  <si>
    <t xml:space="preserve">  &lt;column name="c26" alias="4参数3" type="integer" not-null="true" readonly="false" range="-1,99999999" default="-1" /&gt;</t>
  </si>
  <si>
    <t xml:space="preserve">  &lt;column name="c27" alias="4参数4" type="integer" not-null="true" readonly="false" range="-1,99999999" default="-1" /&gt;</t>
  </si>
  <si>
    <t>未命名角色</t>
    <phoneticPr fontId="1" type="noConversion"/>
  </si>
  <si>
    <t xml:space="preserve">  &lt;column name="c2" alias="角色名称" type="string" not-null="false" readonly="false" length="16" default="未命名角色" /&gt;</t>
  </si>
  <si>
    <t xml:space="preserve">  &lt;column name="c3" alias="技能描述" type="string" not-null="false" readonly="false" length="16" default="技能描述" /&gt;</t>
  </si>
  <si>
    <t xml:space="preserve">  &lt;column name="c8" alias="是否公共冷却" type="enum" not-null="true" readonly="false" value="0,1" default="0" /&gt;</t>
  </si>
  <si>
    <t xml:space="preserve">  &lt;column name="c15" alias="技能目标阵营" type="enum" not-null="true" readonly="false" value="0,1,2" default="0" /&gt;</t>
  </si>
  <si>
    <t xml:space="preserve">  &lt;column name="c4" alias="BUFF1类型" type="refid" not-null="true" readonly="false" table="bufflogic" default="-1" /&gt;</t>
  </si>
  <si>
    <t xml:space="preserve">  &lt;column name="c10" alias="BUFF2类型" type="refid" not-null="true" readonly="false" table="bufflogic" default="-1" /&gt;</t>
  </si>
  <si>
    <t xml:space="preserve">  &lt;column name="c16" alias="BUFF3类型" type="refid" not-null="true" readonly="false" table="bufflogic" default="-1" /&gt;</t>
  </si>
  <si>
    <t xml:space="preserve">  &lt;column name="c22" alias="BUFF4类型" type="refid" not-null="true" readonly="false" table="bufflogic" default="-1" /&gt;</t>
  </si>
  <si>
    <t>&lt;table name="skilltype" alias="技能类型表" catalog="角色技能相关" operate="create" invisible="false" virtual="/Config"&gt;</t>
  </si>
  <si>
    <t>BUFF类型</t>
    <phoneticPr fontId="1" type="noConversion"/>
  </si>
  <si>
    <t>BUFF触发点</t>
    <phoneticPr fontId="1" type="noConversion"/>
  </si>
  <si>
    <t>BUFF效果组</t>
    <phoneticPr fontId="1" type="noConversion"/>
  </si>
  <si>
    <t>BUFF交替组</t>
    <phoneticPr fontId="1" type="noConversion"/>
  </si>
  <si>
    <t>BUFF优先级</t>
    <phoneticPr fontId="1" type="noConversion"/>
  </si>
  <si>
    <t>BUFF承受上限</t>
    <phoneticPr fontId="1" type="noConversion"/>
  </si>
  <si>
    <t>c28</t>
  </si>
  <si>
    <t>c29</t>
  </si>
  <si>
    <t>c30</t>
  </si>
  <si>
    <t>c31</t>
  </si>
  <si>
    <t>c32</t>
  </si>
  <si>
    <t>c33</t>
  </si>
  <si>
    <t>c34</t>
  </si>
  <si>
    <t>c35</t>
  </si>
  <si>
    <t>c36</t>
  </si>
  <si>
    <t>c37</t>
  </si>
  <si>
    <t>c38</t>
  </si>
  <si>
    <t>c39</t>
  </si>
  <si>
    <t>获得时,消失时,将要死亡时,死亡时,造成死亡时,暴击时,闪避时,造成伤害时,受到伤害时,造成治疗时,受到治疗时,每秒,每3秒,每5秒</t>
    <phoneticPr fontId="1" type="noConversion"/>
  </si>
  <si>
    <t>复选</t>
    <phoneticPr fontId="1" type="noConversion"/>
  </si>
  <si>
    <t>参数4描述</t>
  </si>
  <si>
    <t>参数5描述</t>
  </si>
  <si>
    <t>参数6描述</t>
  </si>
  <si>
    <t>叠加层数上限</t>
    <phoneticPr fontId="1" type="noConversion"/>
  </si>
  <si>
    <t>Buff</t>
    <phoneticPr fontId="1" type="noConversion"/>
  </si>
  <si>
    <t>BuffLogic</t>
    <phoneticPr fontId="1" type="noConversion"/>
  </si>
  <si>
    <t>SkillType</t>
    <phoneticPr fontId="1" type="noConversion"/>
  </si>
  <si>
    <t>Skill</t>
    <phoneticPr fontId="1" type="noConversion"/>
  </si>
  <si>
    <t>技能ID</t>
  </si>
  <si>
    <t>技能名称</t>
  </si>
  <si>
    <t>技能描述</t>
  </si>
  <si>
    <t>技能类型</t>
  </si>
  <si>
    <t>后续技能</t>
  </si>
  <si>
    <t>技能消耗</t>
  </si>
  <si>
    <t>技能冷却</t>
  </si>
  <si>
    <t>是否公共冷却</t>
  </si>
  <si>
    <t>动作文件</t>
  </si>
  <si>
    <t>技能icon</t>
  </si>
  <si>
    <t>技能前摇（僵直）</t>
  </si>
  <si>
    <t>技能动作时间</t>
  </si>
  <si>
    <t>技能范围类型</t>
  </si>
  <si>
    <t>范围参数1</t>
  </si>
  <si>
    <t>范围参数2</t>
  </si>
  <si>
    <t>技能目标阵营</t>
  </si>
  <si>
    <t>同时生效技能</t>
  </si>
  <si>
    <t>天赋影响BUFF</t>
  </si>
  <si>
    <t>引导时间</t>
  </si>
  <si>
    <t>引导生效间隔</t>
  </si>
  <si>
    <t>是否可移动</t>
  </si>
  <si>
    <t>BUFF1ID</t>
  </si>
  <si>
    <t>BUFF2ID</t>
  </si>
  <si>
    <t>BUFF3ID</t>
  </si>
  <si>
    <t>BUFF4ID</t>
  </si>
  <si>
    <t>图标</t>
    <phoneticPr fontId="1" type="noConversion"/>
  </si>
  <si>
    <t>Skill</t>
    <phoneticPr fontId="1" type="noConversion"/>
  </si>
  <si>
    <t>表结束(c1)</t>
    <phoneticPr fontId="1" type="noConversion"/>
  </si>
  <si>
    <t>表起始(BuffLogic,逻辑类型表,角色技能相关)</t>
    <phoneticPr fontId="1" type="noConversion"/>
  </si>
  <si>
    <t xml:space="preserve">   INT列(c1,buff类型id,0,99999999,1)</t>
    <phoneticPr fontId="1" type="noConversion"/>
  </si>
  <si>
    <t xml:space="preserve">   STRING列(c2,逻辑名称,16,"")</t>
    <phoneticPr fontId="1" type="noConversion"/>
  </si>
  <si>
    <t xml:space="preserve">   STRING列(c3,参数1描述,16,"")</t>
    <phoneticPr fontId="1" type="noConversion"/>
  </si>
  <si>
    <t xml:space="preserve">   STRING列(c4,参数2描述,16,"")</t>
    <phoneticPr fontId="1" type="noConversion"/>
  </si>
  <si>
    <t xml:space="preserve">   STRING列(c5,参数3描述,16,"")</t>
    <phoneticPr fontId="1" type="noConversion"/>
  </si>
  <si>
    <t xml:space="preserve">   STRING列(c6,参数4描述,16,"")</t>
    <phoneticPr fontId="1" type="noConversion"/>
  </si>
  <si>
    <t>表起始(SkillType,技能类型表,角色技能相关)</t>
    <phoneticPr fontId="1" type="noConversion"/>
  </si>
  <si>
    <t xml:space="preserve">   INT列(c1,技能类型ID,0,99999999,1)</t>
    <phoneticPr fontId="1" type="noConversion"/>
  </si>
  <si>
    <t xml:space="preserve">   STRING列(c2,技能类型说明,16,"")</t>
    <phoneticPr fontId="1" type="noConversion"/>
  </si>
  <si>
    <t>c40</t>
  </si>
  <si>
    <t xml:space="preserve">   STRING列(c7,参数5描述,16,"")</t>
    <phoneticPr fontId="1" type="noConversion"/>
  </si>
  <si>
    <t xml:space="preserve">   STRING列(c8,参数6描述,16,"")</t>
    <phoneticPr fontId="1" type="noConversion"/>
  </si>
  <si>
    <t>AttrRef</t>
    <phoneticPr fontId="1" type="noConversion"/>
  </si>
  <si>
    <t>角色属性转换表</t>
    <phoneticPr fontId="1" type="noConversion"/>
  </si>
  <si>
    <t>角色属性相关</t>
    <phoneticPr fontId="1" type="noConversion"/>
  </si>
  <si>
    <t>属性ID</t>
    <phoneticPr fontId="1" type="noConversion"/>
  </si>
  <si>
    <t>属性描述</t>
    <phoneticPr fontId="1" type="noConversion"/>
  </si>
  <si>
    <t>c1</t>
    <phoneticPr fontId="1" type="noConversion"/>
  </si>
  <si>
    <t>c2</t>
    <phoneticPr fontId="1" type="noConversion"/>
  </si>
  <si>
    <t>""</t>
    <phoneticPr fontId="1" type="noConversion"/>
  </si>
  <si>
    <t>职业ID</t>
    <phoneticPr fontId="1" type="noConversion"/>
  </si>
  <si>
    <t>c0</t>
    <phoneticPr fontId="1" type="noConversion"/>
  </si>
  <si>
    <t>表起始(AttrRef,角色属性转换表,角色属性相关)</t>
    <phoneticPr fontId="1" type="noConversion"/>
  </si>
  <si>
    <t xml:space="preserve">   STRING列(c2,属性描述,16,"")</t>
    <phoneticPr fontId="1" type="noConversion"/>
  </si>
  <si>
    <t xml:space="preserve">   INT列(c3,力量,0,99999999,0)</t>
    <phoneticPr fontId="1" type="noConversion"/>
  </si>
  <si>
    <t xml:space="preserve">   INT列(c4,敏捷,0,99999999,0)</t>
    <phoneticPr fontId="1" type="noConversion"/>
  </si>
  <si>
    <t xml:space="preserve">   INT列(c5,智力,0,99999999,0)</t>
    <phoneticPr fontId="1" type="noConversion"/>
  </si>
  <si>
    <t xml:space="preserve">   INT列(c6,耐力,0,99999999,0)</t>
    <phoneticPr fontId="1" type="noConversion"/>
  </si>
  <si>
    <t xml:space="preserve">   INT列(c7,攻击,0,99999999,0)</t>
    <phoneticPr fontId="1" type="noConversion"/>
  </si>
  <si>
    <t xml:space="preserve">   INT列(c8,生命值,0,99999999,0)</t>
    <phoneticPr fontId="1" type="noConversion"/>
  </si>
  <si>
    <t xml:space="preserve">   INT列(c9,法力值,0,99999999,0)</t>
    <phoneticPr fontId="1" type="noConversion"/>
  </si>
  <si>
    <t xml:space="preserve">   INT列(c10,物理护甲,0,99999999,0)</t>
    <phoneticPr fontId="1" type="noConversion"/>
  </si>
  <si>
    <t xml:space="preserve">   INT列(c11,法术抗性,0,99999999,0)</t>
    <phoneticPr fontId="1" type="noConversion"/>
  </si>
  <si>
    <t xml:space="preserve">   INT列(c12,暴击伤害,0,99999999,0)</t>
    <phoneticPr fontId="1" type="noConversion"/>
  </si>
  <si>
    <t xml:space="preserve">   INT列(c13,移动速度,0,99999999,0)</t>
    <phoneticPr fontId="1" type="noConversion"/>
  </si>
  <si>
    <t xml:space="preserve">   INT列(c14,命中等级,0,99999999,0)</t>
    <phoneticPr fontId="1" type="noConversion"/>
  </si>
  <si>
    <t xml:space="preserve">   INT列(c15,闪避等级,0,99999999,0)</t>
    <phoneticPr fontId="1" type="noConversion"/>
  </si>
  <si>
    <t xml:space="preserve">   INT列(c16,暴击等级,0,99999999,0)</t>
    <phoneticPr fontId="1" type="noConversion"/>
  </si>
  <si>
    <t xml:space="preserve">   INT列(c17,韧性等级,0,99999999,0)</t>
    <phoneticPr fontId="1" type="noConversion"/>
  </si>
  <si>
    <t xml:space="preserve">   INT列(c18,命中率,0,99999999,0)</t>
    <phoneticPr fontId="1" type="noConversion"/>
  </si>
  <si>
    <t xml:space="preserve">   INT列(c19,闪避率,0,99999999,0)</t>
    <phoneticPr fontId="1" type="noConversion"/>
  </si>
  <si>
    <t xml:space="preserve">   INT列(c20,暴击率,0,99999999,0)</t>
    <phoneticPr fontId="1" type="noConversion"/>
  </si>
  <si>
    <t xml:space="preserve">   INT列(c21,韧性率,0,99999999,0)</t>
    <phoneticPr fontId="1" type="noConversion"/>
  </si>
  <si>
    <t xml:space="preserve">   INT列(c22,怒气,0,99999999,0)</t>
    <phoneticPr fontId="1" type="noConversion"/>
  </si>
  <si>
    <t>GUID</t>
    <phoneticPr fontId="1" type="noConversion"/>
  </si>
  <si>
    <t>INT</t>
    <phoneticPr fontId="1" type="noConversion"/>
  </si>
  <si>
    <t>c23</t>
    <phoneticPr fontId="1" type="noConversion"/>
  </si>
  <si>
    <t xml:space="preserve">   INT列(c1,GUID,0,99999999,1)</t>
    <phoneticPr fontId="1" type="noConversion"/>
  </si>
  <si>
    <t xml:space="preserve">   INT列(c0,职业ID,0,99999999,0)</t>
    <phoneticPr fontId="1" type="noConversion"/>
  </si>
  <si>
    <t xml:space="preserve">   INT列(c23,属性ID,0,99999999,1)</t>
    <phoneticPr fontId="1" type="noConversion"/>
  </si>
  <si>
    <t>PositionIn</t>
    <phoneticPr fontId="1" type="noConversion"/>
  </si>
  <si>
    <t>INT</t>
    <phoneticPr fontId="1" type="noConversion"/>
  </si>
  <si>
    <t>STRING</t>
    <phoneticPr fontId="1" type="noConversion"/>
  </si>
  <si>
    <t>c1</t>
    <phoneticPr fontId="1" type="noConversion"/>
  </si>
  <si>
    <t>位标示表</t>
    <phoneticPr fontId="1" type="noConversion"/>
  </si>
  <si>
    <t>表起始(PositionIn,位标示表,角色属性相关)</t>
    <phoneticPr fontId="1" type="noConversion"/>
  </si>
  <si>
    <t xml:space="preserve">   INT列(c1,位标示id,0,99999999,0)</t>
    <phoneticPr fontId="1" type="noConversion"/>
  </si>
  <si>
    <t xml:space="preserve">   STRING列(c2,名称,16,"")</t>
    <phoneticPr fontId="1" type="noConversion"/>
  </si>
  <si>
    <t xml:space="preserve">   INT列(c3,是否告知客户端,0,99999999,0)</t>
    <phoneticPr fontId="1" type="noConversion"/>
  </si>
  <si>
    <t xml:space="preserve">   INT列(c4,刷新类型,0,99999999,0)</t>
    <phoneticPr fontId="1" type="noConversion"/>
  </si>
  <si>
    <t xml:space="preserve">   INT列(c5,刷新参数1,0,99999999,0)</t>
    <phoneticPr fontId="1" type="noConversion"/>
  </si>
  <si>
    <t xml:space="preserve">   INT列(c6,刷新参数2,0,99999999,0)</t>
    <phoneticPr fontId="1" type="noConversion"/>
  </si>
  <si>
    <t>表结束(c1)</t>
    <phoneticPr fontId="1" type="noConversion"/>
  </si>
  <si>
    <t>Scene</t>
    <phoneticPr fontId="1" type="noConversion"/>
  </si>
  <si>
    <t>场景表</t>
    <phoneticPr fontId="1" type="noConversion"/>
  </si>
  <si>
    <t>场景相关</t>
    <phoneticPr fontId="1" type="noConversion"/>
  </si>
  <si>
    <t>FLOAT</t>
    <phoneticPr fontId="1" type="noConversion"/>
  </si>
  <si>
    <t>位标示id</t>
    <phoneticPr fontId="1" type="noConversion"/>
  </si>
  <si>
    <t>名称</t>
    <phoneticPr fontId="1" type="noConversion"/>
  </si>
  <si>
    <t>是否告知客户端</t>
    <phoneticPr fontId="1" type="noConversion"/>
  </si>
  <si>
    <t>刷新类型</t>
    <phoneticPr fontId="1" type="noConversion"/>
  </si>
  <si>
    <t>刷新参数1</t>
    <phoneticPr fontId="1" type="noConversion"/>
  </si>
  <si>
    <t>刷新参数2</t>
    <phoneticPr fontId="1" type="noConversion"/>
  </si>
  <si>
    <t>场景ID</t>
    <phoneticPr fontId="1" type="noConversion"/>
  </si>
  <si>
    <t>场景名称</t>
    <phoneticPr fontId="1" type="noConversion"/>
  </si>
  <si>
    <t>场景说明</t>
    <phoneticPr fontId="1" type="noConversion"/>
  </si>
  <si>
    <t>资源文件</t>
    <phoneticPr fontId="1" type="noConversion"/>
  </si>
  <si>
    <t>场景类型</t>
    <phoneticPr fontId="1" type="noConversion"/>
  </si>
  <si>
    <t>阻挡文件</t>
    <phoneticPr fontId="1" type="noConversion"/>
  </si>
  <si>
    <t>小地图资源</t>
    <phoneticPr fontId="1" type="noConversion"/>
  </si>
  <si>
    <t>背景音乐</t>
    <phoneticPr fontId="1" type="noConversion"/>
  </si>
  <si>
    <t>原地复活</t>
    <phoneticPr fontId="1" type="noConversion"/>
  </si>
  <si>
    <t>主城复活</t>
    <phoneticPr fontId="1" type="noConversion"/>
  </si>
  <si>
    <t>主城ID</t>
    <phoneticPr fontId="1" type="noConversion"/>
  </si>
  <si>
    <t>入口复活</t>
    <phoneticPr fontId="1" type="noConversion"/>
  </si>
  <si>
    <t>入口坐标X</t>
    <phoneticPr fontId="1" type="noConversion"/>
  </si>
  <si>
    <t>入口坐标Z</t>
    <phoneticPr fontId="1" type="noConversion"/>
  </si>
  <si>
    <t>安全坐标X</t>
    <phoneticPr fontId="1" type="noConversion"/>
  </si>
  <si>
    <t>安全坐标Z</t>
    <phoneticPr fontId="1" type="noConversion"/>
  </si>
  <si>
    <t>PVP规则</t>
    <phoneticPr fontId="1" type="noConversion"/>
  </si>
  <si>
    <t>换线</t>
    <phoneticPr fontId="1" type="noConversion"/>
  </si>
  <si>
    <t>场景内玩家数量上限A</t>
    <phoneticPr fontId="1" type="noConversion"/>
  </si>
  <si>
    <t>场景内玩家数量上限B</t>
    <phoneticPr fontId="1" type="noConversion"/>
  </si>
  <si>
    <t>表起始(Scene,场景表,场景相关)</t>
  </si>
  <si>
    <t xml:space="preserve">   INT列(c1,场景ID,0,99999999,1)</t>
  </si>
  <si>
    <t xml:space="preserve">   STRING列(c2,场景名称,16,"")</t>
  </si>
  <si>
    <t xml:space="preserve">   STRING列(c3,场景说明,16,"")</t>
  </si>
  <si>
    <t xml:space="preserve">   STRING列(c4,资源文件,16,"")</t>
  </si>
  <si>
    <t xml:space="preserve">   INT列(c5,场景类型,0,99999999,0)</t>
  </si>
  <si>
    <t xml:space="preserve">   STRING列(c6,阻挡文件,16,"")</t>
  </si>
  <si>
    <t xml:space="preserve">   STRING列(c7,小地图资源,16,"")</t>
  </si>
  <si>
    <t xml:space="preserve">   INT列(c8,背景音乐,0,99999999,0)</t>
  </si>
  <si>
    <t xml:space="preserve">   INT列(c9,原地复活,0,99999999,0)</t>
  </si>
  <si>
    <t xml:space="preserve">   INT列(c10,主城复活,0,99999999,0)</t>
  </si>
  <si>
    <t xml:space="preserve">   INT列(c11,主城ID,0,99999999,0)</t>
  </si>
  <si>
    <t xml:space="preserve">   INT列(c12,入口复活,0,99999999,0)</t>
  </si>
  <si>
    <t xml:space="preserve">   FLOAT列(c13,入口坐标X,0,99999999,0)</t>
  </si>
  <si>
    <t xml:space="preserve">   FLOAT列(c14,入口坐标Z,0,99999999,0)</t>
  </si>
  <si>
    <t xml:space="preserve">   FLOAT列(c15,安全坐标X,0,99999999,0)</t>
  </si>
  <si>
    <t xml:space="preserve">   FLOAT列(c16,安全坐标Z,0,99999999,0)</t>
  </si>
  <si>
    <t xml:space="preserve">   INT列(c17,PVP规则,0,99999999,0)</t>
  </si>
  <si>
    <t xml:space="preserve">   INT列(c18,换线,0,99999999,0)</t>
  </si>
  <si>
    <t xml:space="preserve">   INT列(c19,场景内玩家数量上限A,0,99999999,0)</t>
  </si>
  <si>
    <t xml:space="preserve">   INT列(c20,场景内玩家数量上限B,0,99999999,0)</t>
  </si>
  <si>
    <t>Gem</t>
    <phoneticPr fontId="1" type="noConversion"/>
  </si>
  <si>
    <t>宝石表</t>
    <phoneticPr fontId="1" type="noConversion"/>
  </si>
  <si>
    <t>道具相关</t>
    <phoneticPr fontId="1" type="noConversion"/>
  </si>
  <si>
    <t>宝石ID</t>
  </si>
  <si>
    <t>宝石描述</t>
  </si>
  <si>
    <t>宝石类型</t>
  </si>
  <si>
    <t>宝石属性</t>
  </si>
  <si>
    <t>宝石数值</t>
  </si>
  <si>
    <t>宝石等级</t>
    <phoneticPr fontId="1" type="noConversion"/>
  </si>
  <si>
    <t>c1</t>
    <phoneticPr fontId="1" type="noConversion"/>
  </si>
  <si>
    <t>c2</t>
    <phoneticPr fontId="1" type="noConversion"/>
  </si>
  <si>
    <t>c4</t>
    <phoneticPr fontId="1" type="noConversion"/>
  </si>
  <si>
    <t>c5</t>
    <phoneticPr fontId="1" type="noConversion"/>
  </si>
  <si>
    <t>c0</t>
    <phoneticPr fontId="1" type="noConversion"/>
  </si>
  <si>
    <t>""</t>
    <phoneticPr fontId="1" type="noConversion"/>
  </si>
  <si>
    <t>表起始(Gem,宝石表,道具相关)</t>
    <phoneticPr fontId="1" type="noConversion"/>
  </si>
  <si>
    <t xml:space="preserve">   INT列(c1,宝石ID,0,99999999,1)</t>
    <phoneticPr fontId="1" type="noConversion"/>
  </si>
  <si>
    <t xml:space="preserve">   STRING列(c2,宝石描述,16,"")</t>
    <phoneticPr fontId="1" type="noConversion"/>
  </si>
  <si>
    <t xml:space="preserve">   INT列(c3,宝石类型,0,99999999,0)</t>
    <phoneticPr fontId="1" type="noConversion"/>
  </si>
  <si>
    <t xml:space="preserve">   INT列(c0,宝石等级,0,99999999,0)</t>
    <phoneticPr fontId="1" type="noConversion"/>
  </si>
  <si>
    <t xml:space="preserve">   INT列(c4,宝石属性,-1,99999999,-1)</t>
    <phoneticPr fontId="1" type="noConversion"/>
  </si>
  <si>
    <t xml:space="preserve">   INT列(c5,宝石数值,0,99999999,0)</t>
    <phoneticPr fontId="1" type="noConversion"/>
  </si>
  <si>
    <t xml:space="preserve">   INT列(c6,宝石属性,-1,99999999,-1)</t>
    <phoneticPr fontId="1" type="noConversion"/>
  </si>
  <si>
    <t xml:space="preserve">   INT列(c7,宝石数值,0,99999999,0)</t>
    <phoneticPr fontId="1" type="noConversion"/>
  </si>
  <si>
    <t xml:space="preserve">   INT列(c8,宝石属性,-1,99999999,-1)</t>
    <phoneticPr fontId="1" type="noConversion"/>
  </si>
  <si>
    <t xml:space="preserve">   INT列(c9,宝石数值,0,99999999,0)</t>
    <phoneticPr fontId="1" type="noConversion"/>
  </si>
  <si>
    <t xml:space="preserve">   INT列(c10,宝石属性,-1,99999999,-1)</t>
    <phoneticPr fontId="1" type="noConversion"/>
  </si>
  <si>
    <t xml:space="preserve">   INT列(c11,宝石数值,0,99999999,0)</t>
    <phoneticPr fontId="1" type="noConversion"/>
  </si>
  <si>
    <t>表结束(c1)</t>
    <phoneticPr fontId="1" type="noConversion"/>
  </si>
  <si>
    <t>EquipEnhance</t>
    <phoneticPr fontId="1" type="noConversion"/>
  </si>
  <si>
    <t>装备强化附魔表</t>
    <phoneticPr fontId="1" type="noConversion"/>
  </si>
  <si>
    <t>道具相关</t>
    <phoneticPr fontId="1" type="noConversion"/>
  </si>
  <si>
    <t>INT</t>
    <phoneticPr fontId="1" type="noConversion"/>
  </si>
  <si>
    <t>属性ID</t>
    <phoneticPr fontId="1" type="noConversion"/>
  </si>
  <si>
    <t>强化基础价值</t>
    <phoneticPr fontId="1" type="noConversion"/>
  </si>
  <si>
    <t>附魔万分比</t>
    <phoneticPr fontId="1" type="noConversion"/>
  </si>
  <si>
    <t>表起始(EquipEnhance,装备强化附魔表,道具相关)</t>
    <phoneticPr fontId="1" type="noConversion"/>
  </si>
  <si>
    <t xml:space="preserve">   INT列(c1,属性ID,0,99999999,1)</t>
    <phoneticPr fontId="1" type="noConversion"/>
  </si>
  <si>
    <t xml:space="preserve">   INT列(c2,强化基础价值,0,99999999,0)</t>
    <phoneticPr fontId="1" type="noConversion"/>
  </si>
  <si>
    <t xml:space="preserve">   INT列(c3,附魔万分比,0,99999999,0)</t>
    <phoneticPr fontId="1" type="noConversion"/>
  </si>
  <si>
    <t>c0</t>
    <phoneticPr fontId="1" type="noConversion"/>
  </si>
  <si>
    <t>STRING</t>
    <phoneticPr fontId="1" type="noConversion"/>
  </si>
  <si>
    <t>属性描述</t>
    <phoneticPr fontId="1" type="noConversion"/>
  </si>
  <si>
    <t>""</t>
    <phoneticPr fontId="1" type="noConversion"/>
  </si>
  <si>
    <t xml:space="preserve">   STRING列(c0,属性描述,16,"")</t>
    <phoneticPr fontId="1" type="noConversion"/>
  </si>
  <si>
    <t>LevelData</t>
    <phoneticPr fontId="1" type="noConversion"/>
  </si>
  <si>
    <t>角色属性相关</t>
    <phoneticPr fontId="1" type="noConversion"/>
  </si>
  <si>
    <t>角色属性参数表</t>
    <phoneticPr fontId="1" type="noConversion"/>
  </si>
  <si>
    <t>等级</t>
  </si>
  <si>
    <t>升级所需经验</t>
  </si>
  <si>
    <t>当级经验上限</t>
  </si>
  <si>
    <t>护甲免伤系数</t>
  </si>
  <si>
    <t>抗性免伤系数</t>
  </si>
  <si>
    <t>暴击系数</t>
  </si>
  <si>
    <t>韧性系数</t>
  </si>
  <si>
    <t>c1</t>
    <phoneticPr fontId="1" type="noConversion"/>
  </si>
  <si>
    <t>闪避系数</t>
    <phoneticPr fontId="1" type="noConversion"/>
  </si>
  <si>
    <t>命中系数</t>
    <phoneticPr fontId="1" type="noConversion"/>
  </si>
  <si>
    <t>c10</t>
    <phoneticPr fontId="1" type="noConversion"/>
  </si>
  <si>
    <t>INT</t>
    <phoneticPr fontId="1" type="noConversion"/>
  </si>
  <si>
    <t>攻击强化</t>
    <phoneticPr fontId="1" type="noConversion"/>
  </si>
  <si>
    <t>生命强化</t>
    <phoneticPr fontId="1" type="noConversion"/>
  </si>
  <si>
    <t>护甲强化</t>
    <phoneticPr fontId="1" type="noConversion"/>
  </si>
  <si>
    <t>c11</t>
    <phoneticPr fontId="1" type="noConversion"/>
  </si>
  <si>
    <t>c12</t>
    <phoneticPr fontId="1" type="noConversion"/>
  </si>
  <si>
    <t>攻击固定</t>
  </si>
  <si>
    <t>生命固定</t>
  </si>
  <si>
    <t>护甲固定</t>
  </si>
  <si>
    <t>c13</t>
    <phoneticPr fontId="1" type="noConversion"/>
  </si>
  <si>
    <t>c14</t>
    <phoneticPr fontId="1" type="noConversion"/>
  </si>
  <si>
    <t>c15</t>
    <phoneticPr fontId="1" type="noConversion"/>
  </si>
  <si>
    <t>技能范围表</t>
    <phoneticPr fontId="1" type="noConversion"/>
  </si>
  <si>
    <t>SkillRange</t>
    <phoneticPr fontId="1" type="noConversion"/>
  </si>
  <si>
    <t>技能相关</t>
    <phoneticPr fontId="1" type="noConversion"/>
  </si>
  <si>
    <t>INT</t>
    <phoneticPr fontId="1" type="noConversion"/>
  </si>
  <si>
    <t>STRING</t>
    <phoneticPr fontId="1" type="noConversion"/>
  </si>
  <si>
    <t>技能范围ID</t>
    <phoneticPr fontId="1" type="noConversion"/>
  </si>
  <si>
    <t>技能范围说明</t>
    <phoneticPr fontId="1" type="noConversion"/>
  </si>
  <si>
    <t>参数1说明</t>
    <phoneticPr fontId="1" type="noConversion"/>
  </si>
  <si>
    <t>参数2说明</t>
    <phoneticPr fontId="1" type="noConversion"/>
  </si>
  <si>
    <t>c1</t>
    <phoneticPr fontId="1" type="noConversion"/>
  </si>
  <si>
    <t>c2</t>
    <phoneticPr fontId="1" type="noConversion"/>
  </si>
  <si>
    <t>c3</t>
    <phoneticPr fontId="1" type="noConversion"/>
  </si>
  <si>
    <t>c4</t>
    <phoneticPr fontId="1" type="noConversion"/>
  </si>
  <si>
    <t>INT</t>
    <phoneticPr fontId="1" type="noConversion"/>
  </si>
  <si>
    <t>c16</t>
    <phoneticPr fontId="1" type="noConversion"/>
  </si>
  <si>
    <t>附魔经验</t>
    <phoneticPr fontId="1" type="noConversion"/>
  </si>
  <si>
    <t>表起始(LevelData,角色属性参数表,角色属性相关)</t>
    <phoneticPr fontId="1" type="noConversion"/>
  </si>
  <si>
    <t xml:space="preserve">   INT列(c1,等级,0,99999999,1)</t>
    <phoneticPr fontId="1" type="noConversion"/>
  </si>
  <si>
    <t xml:space="preserve">   INT列(c2,升级所需经验,0,99999999,0)</t>
    <phoneticPr fontId="1" type="noConversion"/>
  </si>
  <si>
    <t xml:space="preserve">   INT列(c3,当级经验上限,0,99999999,0)</t>
    <phoneticPr fontId="1" type="noConversion"/>
  </si>
  <si>
    <t xml:space="preserve">   FLOAT列(c4,护甲免伤系数,0,99999999,0)</t>
    <phoneticPr fontId="1" type="noConversion"/>
  </si>
  <si>
    <t xml:space="preserve">   FLOAT列(c5,抗性免伤系数,0,99999999,0)</t>
    <phoneticPr fontId="1" type="noConversion"/>
  </si>
  <si>
    <t xml:space="preserve">   FLOAT列(c6,暴击系数,0,99999999,0)</t>
    <phoneticPr fontId="1" type="noConversion"/>
  </si>
  <si>
    <t xml:space="preserve">   FLOAT列(c7,韧性系数,0,99999999,0)</t>
    <phoneticPr fontId="1" type="noConversion"/>
  </si>
  <si>
    <t xml:space="preserve">   FLOAT列(c8,闪避系数,0,99999999,0)</t>
    <phoneticPr fontId="1" type="noConversion"/>
  </si>
  <si>
    <t xml:space="preserve">   FLOAT列(c9,命中系数,0,99999999,0)</t>
    <phoneticPr fontId="1" type="noConversion"/>
  </si>
  <si>
    <t xml:space="preserve">   INT列(c10,攻击强化,0,99999999,0)</t>
    <phoneticPr fontId="1" type="noConversion"/>
  </si>
  <si>
    <t xml:space="preserve">   INT列(c13,攻击固定,0,99999999,0)</t>
    <phoneticPr fontId="1" type="noConversion"/>
  </si>
  <si>
    <t xml:space="preserve">   INT列(c11,生命强化,0,99999999,0)</t>
    <phoneticPr fontId="1" type="noConversion"/>
  </si>
  <si>
    <t xml:space="preserve">   INT列(c14,生命固定,0,99999999,0)</t>
    <phoneticPr fontId="1" type="noConversion"/>
  </si>
  <si>
    <t xml:space="preserve">   INT列(c12,护甲强化,0,99999999,0)</t>
    <phoneticPr fontId="1" type="noConversion"/>
  </si>
  <si>
    <t xml:space="preserve">   INT列(c15,护甲固定,0,99999999,0)</t>
    <phoneticPr fontId="1" type="noConversion"/>
  </si>
  <si>
    <t xml:space="preserve">   INT列(c16,附魔经验,0,99999999,0)</t>
  </si>
  <si>
    <t>EquipEnchant</t>
    <phoneticPr fontId="1" type="noConversion"/>
  </si>
  <si>
    <t>装备附魔属性表</t>
    <phoneticPr fontId="1" type="noConversion"/>
  </si>
  <si>
    <t>道具相关</t>
    <phoneticPr fontId="1" type="noConversion"/>
  </si>
  <si>
    <t>随机属性ID</t>
  </si>
  <si>
    <t>力量</t>
  </si>
  <si>
    <t>敏捷</t>
  </si>
  <si>
    <t>智力</t>
  </si>
  <si>
    <t>耐力</t>
  </si>
  <si>
    <t>攻击</t>
  </si>
  <si>
    <t>生命值</t>
  </si>
  <si>
    <t>法力值</t>
  </si>
  <si>
    <t>物理护甲</t>
  </si>
  <si>
    <t>法术抗性</t>
  </si>
  <si>
    <t>暴击伤害</t>
  </si>
  <si>
    <t>移动速度</t>
  </si>
  <si>
    <t>命中等级</t>
  </si>
  <si>
    <t>闪避等级</t>
  </si>
  <si>
    <t>暴击等级</t>
  </si>
  <si>
    <t>韧性等级</t>
  </si>
  <si>
    <t>命中率</t>
  </si>
  <si>
    <t>闪避率</t>
  </si>
  <si>
    <t>暴击率</t>
  </si>
  <si>
    <t>韧性率</t>
  </si>
  <si>
    <t>怒气</t>
  </si>
  <si>
    <t>c1</t>
    <phoneticPr fontId="1" type="noConversion"/>
  </si>
  <si>
    <t>INT</t>
    <phoneticPr fontId="1" type="noConversion"/>
  </si>
  <si>
    <t>表起始(EquipEnchant,装备附魔属性表,道具相关)</t>
    <phoneticPr fontId="1" type="noConversion"/>
  </si>
  <si>
    <t xml:space="preserve">   INT列(c1,随机属性ID,0,99999999,1)</t>
    <phoneticPr fontId="1" type="noConversion"/>
  </si>
  <si>
    <t xml:space="preserve">   INT列(c2,力量,0,99999999,0)</t>
    <phoneticPr fontId="1" type="noConversion"/>
  </si>
  <si>
    <t xml:space="preserve">   INT列(c3,敏捷,0,99999999,0)</t>
    <phoneticPr fontId="1" type="noConversion"/>
  </si>
  <si>
    <t xml:space="preserve">   INT列(c4,智力,0,99999999,0)</t>
  </si>
  <si>
    <t xml:space="preserve">   INT列(c6,攻击,0,99999999,0)</t>
  </si>
  <si>
    <t xml:space="preserve">   INT列(c7,生命值,0,99999999,0)</t>
  </si>
  <si>
    <t xml:space="preserve">   INT列(c8,法力值,0,99999999,0)</t>
  </si>
  <si>
    <t xml:space="preserve">   INT列(c9,物理护甲,0,99999999,0)</t>
  </si>
  <si>
    <t xml:space="preserve">   INT列(c10,法术抗性,0,99999999,0)</t>
  </si>
  <si>
    <t xml:space="preserve">   INT列(c11,暴击伤害,0,99999999,0)</t>
  </si>
  <si>
    <t xml:space="preserve">   INT列(c12,移动速度,0,99999999,0)</t>
  </si>
  <si>
    <t xml:space="preserve">   INT列(c13,命中等级,0,99999999,0)</t>
  </si>
  <si>
    <t xml:space="preserve">   INT列(c14,闪避等级,0,99999999,0)</t>
  </si>
  <si>
    <t xml:space="preserve">   INT列(c15,暴击等级,0,99999999,0)</t>
  </si>
  <si>
    <t xml:space="preserve">   INT列(c16,韧性等级,0,99999999,0)</t>
  </si>
  <si>
    <t xml:space="preserve">   INT列(c17,命中率,0,99999999,0)</t>
  </si>
  <si>
    <t xml:space="preserve">   INT列(c18,闪避率,0,99999999,0)</t>
  </si>
  <si>
    <t xml:space="preserve">   INT列(c19,暴击率,0,99999999,0)</t>
  </si>
  <si>
    <t xml:space="preserve">   INT列(c20,韧性率,0,99999999,0)</t>
  </si>
  <si>
    <t xml:space="preserve">   INT列(c21,怒气,0,99999999,0)</t>
  </si>
  <si>
    <t>Stats</t>
    <phoneticPr fontId="1" type="noConversion"/>
  </si>
  <si>
    <t>角色属性相关</t>
    <phoneticPr fontId="1" type="noConversion"/>
  </si>
  <si>
    <t>角色属性一览</t>
    <phoneticPr fontId="1" type="noConversion"/>
  </si>
  <si>
    <t>INT</t>
    <phoneticPr fontId="1" type="noConversion"/>
  </si>
  <si>
    <t>属性ID</t>
    <phoneticPr fontId="1" type="noConversion"/>
  </si>
  <si>
    <t>STRING</t>
    <phoneticPr fontId="1" type="noConversion"/>
  </si>
  <si>
    <t>属性名称</t>
    <phoneticPr fontId="1" type="noConversion"/>
  </si>
  <si>
    <t>c1</t>
  </si>
  <si>
    <t>c1</t>
    <phoneticPr fontId="1" type="noConversion"/>
  </si>
  <si>
    <t>c2</t>
    <phoneticPr fontId="1" type="noConversion"/>
  </si>
  <si>
    <t>表结束(c1)</t>
    <phoneticPr fontId="1" type="noConversion"/>
  </si>
  <si>
    <t xml:space="preserve">   INT列(c1,属性ID,0,99999999,1)</t>
  </si>
  <si>
    <t>表结束(c1)</t>
    <phoneticPr fontId="1" type="noConversion"/>
  </si>
  <si>
    <t>表起始(Stats,角色属性一览,角色属性相关)</t>
    <phoneticPr fontId="1" type="noConversion"/>
  </si>
  <si>
    <t xml:space="preserve">   STRING列(c2,属性名称,16,"")</t>
  </si>
  <si>
    <t>角色描述</t>
    <phoneticPr fontId="1" type="noConversion"/>
  </si>
  <si>
    <t>角色类型（0角色1NPC和怪物）</t>
    <phoneticPr fontId="1" type="noConversion"/>
  </si>
  <si>
    <t>性别</t>
    <phoneticPr fontId="1" type="noConversion"/>
  </si>
  <si>
    <t>""</t>
    <phoneticPr fontId="1" type="noConversion"/>
  </si>
  <si>
    <t>角色,NPC和怪物</t>
    <phoneticPr fontId="1" type="noConversion"/>
  </si>
  <si>
    <t>男,女</t>
    <phoneticPr fontId="1" type="noConversion"/>
  </si>
  <si>
    <t xml:space="preserve">   INT列(c1,索引ID,0,99999999,1)</t>
    <phoneticPr fontId="1" type="noConversion"/>
  </si>
  <si>
    <t xml:space="preserve">   STRING列(c2,角色名称,16,未命名角色)</t>
    <phoneticPr fontId="1" type="noConversion"/>
  </si>
  <si>
    <t xml:space="preserve">   INT列(c3,等级,0,99999999,1)</t>
    <phoneticPr fontId="1" type="noConversion"/>
  </si>
  <si>
    <t xml:space="preserve">   INT列(c4,力量,0,99999999,1)</t>
    <phoneticPr fontId="1" type="noConversion"/>
  </si>
  <si>
    <t xml:space="preserve">   INT列(c5,敏捷,0,99999999,1)</t>
    <phoneticPr fontId="1" type="noConversion"/>
  </si>
  <si>
    <t xml:space="preserve">   INT列(c6,智力,0,99999999,1)</t>
    <phoneticPr fontId="1" type="noConversion"/>
  </si>
  <si>
    <t xml:space="preserve">   INT列(c7,耐力,0,99999999,1)</t>
    <phoneticPr fontId="1" type="noConversion"/>
  </si>
  <si>
    <t xml:space="preserve">   INT列(c8,攻击,0,99999999,1)</t>
    <phoneticPr fontId="1" type="noConversion"/>
  </si>
  <si>
    <t xml:space="preserve">   INT列(c9,生命值,0,99999999,1)</t>
    <phoneticPr fontId="1" type="noConversion"/>
  </si>
  <si>
    <t xml:space="preserve">   INT列(c10,法力值,0,99999999,1)</t>
    <phoneticPr fontId="1" type="noConversion"/>
  </si>
  <si>
    <t xml:space="preserve">   INT列(c11,物理护甲,0,99999999,1)</t>
    <phoneticPr fontId="1" type="noConversion"/>
  </si>
  <si>
    <t xml:space="preserve">   INT列(c16,闪避等级,0,99999999,1)</t>
    <phoneticPr fontId="1" type="noConversion"/>
  </si>
  <si>
    <t xml:space="preserve">   INT列(c17,暴击等级,0,99999999,1)</t>
    <phoneticPr fontId="1" type="noConversion"/>
  </si>
  <si>
    <t xml:space="preserve">   INT列(c18,韧性等级,0,99999999,1)</t>
    <phoneticPr fontId="1" type="noConversion"/>
  </si>
  <si>
    <t xml:space="preserve">   INT列(c19,命中率,0,99999999,1)</t>
    <phoneticPr fontId="1" type="noConversion"/>
  </si>
  <si>
    <t xml:space="preserve">   INT列(c20,闪避率,0,99999999,1)</t>
    <phoneticPr fontId="1" type="noConversion"/>
  </si>
  <si>
    <t xml:space="preserve">   INT列(c21,暴击率,0,99999999,1)</t>
    <phoneticPr fontId="1" type="noConversion"/>
  </si>
  <si>
    <t xml:space="preserve">   INT列(c22,韧性率,0,99999999,1)</t>
    <phoneticPr fontId="1" type="noConversion"/>
  </si>
  <si>
    <t xml:space="preserve">   INT列(c23,怒气,0,99999999,1)</t>
    <phoneticPr fontId="1" type="noConversion"/>
  </si>
  <si>
    <t xml:space="preserve">   索引列(c24,技能ID,"Skill",-1)</t>
    <phoneticPr fontId="1" type="noConversion"/>
  </si>
  <si>
    <t xml:space="preserve">   STRING列(c29,角色描述,32,"")</t>
    <phoneticPr fontId="1" type="noConversion"/>
  </si>
  <si>
    <t xml:space="preserve">   单选列(c30,角色类型（0角色1NPC和怪物）,"角色,NPC和怪物",1)</t>
    <phoneticPr fontId="1" type="noConversion"/>
  </si>
  <si>
    <t xml:space="preserve">   单选列(c31,职业（-1为无职业）,"战士,祭司,刺客,游侠",-1)</t>
    <phoneticPr fontId="1" type="noConversion"/>
  </si>
  <si>
    <t xml:space="preserve">   单选列(c32,性别,"男,女",-1)</t>
    <phoneticPr fontId="1" type="noConversion"/>
  </si>
  <si>
    <t xml:space="preserve">   INT列(c12,法术抗性,0,99999999,1)</t>
    <phoneticPr fontId="1" type="noConversion"/>
  </si>
  <si>
    <t xml:space="preserve">   INT列(c13,暴击伤害,0,99999999,1)</t>
    <phoneticPr fontId="1" type="noConversion"/>
  </si>
  <si>
    <t xml:space="preserve">   INT列(c14,移动速度,0,99999999,1)</t>
    <phoneticPr fontId="1" type="noConversion"/>
  </si>
  <si>
    <t xml:space="preserve">   INT列(c15,命中等级,0,99999999,1)</t>
    <phoneticPr fontId="1" type="noConversion"/>
  </si>
  <si>
    <t xml:space="preserve">   INT列(c25,力量成长,0,99999999,0)</t>
    <phoneticPr fontId="1" type="noConversion"/>
  </si>
  <si>
    <t xml:space="preserve">   INT列(c26,敏捷成长,0,99999999,0)</t>
    <phoneticPr fontId="1" type="noConversion"/>
  </si>
  <si>
    <t xml:space="preserve">   INT列(c27,智力成长,0,99999999,0)</t>
    <phoneticPr fontId="1" type="noConversion"/>
  </si>
  <si>
    <t xml:space="preserve">   INT列(c28,耐力成长,0,99999999,0)</t>
    <phoneticPr fontId="1" type="noConversion"/>
  </si>
  <si>
    <t>c41</t>
  </si>
  <si>
    <t>c42</t>
  </si>
  <si>
    <t>c43</t>
  </si>
  <si>
    <t>掉落包3ID</t>
  </si>
  <si>
    <t>c44</t>
  </si>
  <si>
    <t>掉落包4ID</t>
  </si>
  <si>
    <t>c45</t>
  </si>
  <si>
    <t>掉落包5ID</t>
  </si>
  <si>
    <t>NpcBase</t>
  </si>
  <si>
    <t>NPC表</t>
  </si>
  <si>
    <t>NPC相关</t>
  </si>
  <si>
    <t>NPC名称</t>
  </si>
  <si>
    <t>未描述</t>
  </si>
  <si>
    <t>NPC描述</t>
  </si>
  <si>
    <t>阵营ID</t>
  </si>
  <si>
    <t>友好,中立,敌对</t>
  </si>
  <si>
    <t>NPC类别</t>
  </si>
  <si>
    <t>普通,精英,BOSS</t>
  </si>
  <si>
    <t>NPC称谓</t>
  </si>
  <si>
    <t>泡泡1</t>
  </si>
  <si>
    <t>泡泡2</t>
  </si>
  <si>
    <t>泡泡3</t>
  </si>
  <si>
    <t>NPC等级</t>
  </si>
  <si>
    <t>NPC对话半径</t>
  </si>
  <si>
    <t>是否随机游荡</t>
  </si>
  <si>
    <t>否,是</t>
  </si>
  <si>
    <t>游荡半径</t>
  </si>
  <si>
    <t>警戒范围</t>
  </si>
  <si>
    <t>脱战范围</t>
  </si>
  <si>
    <t>出生特效</t>
  </si>
  <si>
    <t>死亡特效</t>
  </si>
  <si>
    <t>死亡是否被击飞</t>
  </si>
  <si>
    <t>尸体存在时间（毫秒）</t>
  </si>
  <si>
    <t>是否自动复活</t>
  </si>
  <si>
    <t>复活等待时间（毫秒）</t>
  </si>
  <si>
    <t>提供经验值</t>
  </si>
  <si>
    <t>拾取归属类型</t>
  </si>
  <si>
    <t>造成伤害的所有人,造成伤害最高的人,最先造成伤害的人,完成最后一击的人</t>
  </si>
  <si>
    <t>AI脚本的ID</t>
  </si>
  <si>
    <t>掉落包1ID</t>
  </si>
  <si>
    <t>掉落包2ID</t>
  </si>
  <si>
    <t>表起始(NpcBase,NPC表,NPC相关)</t>
    <phoneticPr fontId="1" type="noConversion"/>
  </si>
  <si>
    <t xml:space="preserve">   STRING列(c2,NPC名称,16,未描述)</t>
    <phoneticPr fontId="1" type="noConversion"/>
  </si>
  <si>
    <t xml:space="preserve">   STRING列(c3,NPC描述,16,未描述)</t>
    <phoneticPr fontId="1" type="noConversion"/>
  </si>
  <si>
    <t xml:space="preserve">   INT列(c4,模型ID,-1,99999999,-1)</t>
    <phoneticPr fontId="1" type="noConversion"/>
  </si>
  <si>
    <t xml:space="preserve">   INT列(c5,配音ID,-1,99999999,-1)</t>
    <phoneticPr fontId="1" type="noConversion"/>
  </si>
  <si>
    <t xml:space="preserve">   单选列(c7,阵营ID,"友好,中立,敌对",0)</t>
    <phoneticPr fontId="1" type="noConversion"/>
  </si>
  <si>
    <t xml:space="preserve">   单选列(c8,NPC类别,"普通,精英,BOSS",0)</t>
    <phoneticPr fontId="1" type="noConversion"/>
  </si>
  <si>
    <t xml:space="preserve">   STRING列(c9,NPC称谓,16,未描述)</t>
    <phoneticPr fontId="1" type="noConversion"/>
  </si>
  <si>
    <t xml:space="preserve">   INT列(c10,头像ID,-1,99999999,-1)</t>
    <phoneticPr fontId="1" type="noConversion"/>
  </si>
  <si>
    <t xml:space="preserve">   INT列(c11,半身像ID,-1,99999999,-1)</t>
    <phoneticPr fontId="1" type="noConversion"/>
  </si>
  <si>
    <t>索引</t>
    <phoneticPr fontId="1" type="noConversion"/>
  </si>
  <si>
    <t>Actor</t>
    <phoneticPr fontId="1" type="noConversion"/>
  </si>
  <si>
    <t>表起始(Actor,基础角色表,角色属性相关)</t>
    <phoneticPr fontId="1" type="noConversion"/>
  </si>
  <si>
    <t xml:space="preserve">   索引列(c1,索引ID,"Actor",-1)</t>
    <phoneticPr fontId="1" type="noConversion"/>
  </si>
  <si>
    <t xml:space="preserve">   STRING列(c12,泡泡1,16,未描述)</t>
    <phoneticPr fontId="1" type="noConversion"/>
  </si>
  <si>
    <t xml:space="preserve">   STRING列(c13,泡泡2,16,未描述)</t>
    <phoneticPr fontId="1" type="noConversion"/>
  </si>
  <si>
    <t xml:space="preserve">   STRING列(c14,泡泡3,16,未描述)</t>
    <phoneticPr fontId="1" type="noConversion"/>
  </si>
  <si>
    <t xml:space="preserve">   INT列(c15,NPC等级,-1,99999999,-1)</t>
    <phoneticPr fontId="1" type="noConversion"/>
  </si>
  <si>
    <t xml:space="preserve">   FLOAT列(c16,NPC对话半径,-1,99999999,-1)</t>
    <phoneticPr fontId="1" type="noConversion"/>
  </si>
  <si>
    <t xml:space="preserve">   单选列(c17,是否随机游荡,"否,是",0)</t>
    <phoneticPr fontId="1" type="noConversion"/>
  </si>
  <si>
    <t xml:space="preserve">   FLOAT列(c18,游荡半径,-1,99999999,-1)</t>
    <phoneticPr fontId="1" type="noConversion"/>
  </si>
  <si>
    <t xml:space="preserve">   FLOAT列(c19,警戒范围,-1,99999999,-1)</t>
    <phoneticPr fontId="1" type="noConversion"/>
  </si>
  <si>
    <t xml:space="preserve">   FLOAT列(c20,脱战范围,-1,99999999,-1)</t>
    <phoneticPr fontId="1" type="noConversion"/>
  </si>
  <si>
    <t xml:space="preserve">   INT列(c32,出生特效,-1,99999999,-1)</t>
    <phoneticPr fontId="1" type="noConversion"/>
  </si>
  <si>
    <t xml:space="preserve">   INT列(c33,死亡特效,-1,99999999,-1)</t>
    <phoneticPr fontId="1" type="noConversion"/>
  </si>
  <si>
    <t xml:space="preserve">   单选列(c34,死亡是否被击飞,"否,是",0)</t>
    <phoneticPr fontId="1" type="noConversion"/>
  </si>
  <si>
    <t xml:space="preserve">   INT列(c35,尸体存在时间（毫秒）,-1,99999999,-1)</t>
    <phoneticPr fontId="1" type="noConversion"/>
  </si>
  <si>
    <t xml:space="preserve">   单选列(c36,是否自动复活,"否,是",0)</t>
    <phoneticPr fontId="1" type="noConversion"/>
  </si>
  <si>
    <t xml:space="preserve">   INT列(c37,复活等待时间（毫秒）,-1,99999999,-1)</t>
    <phoneticPr fontId="1" type="noConversion"/>
  </si>
  <si>
    <t xml:space="preserve">   INT列(c38,提供经验值,-1,99999999,-1)</t>
    <phoneticPr fontId="1" type="noConversion"/>
  </si>
  <si>
    <t xml:space="preserve">   单选列(c39,拾取归属类型,"造成伤害的所有人,造成伤害最高的人,最先造成伤害的人,完成最后一击的人",0)</t>
    <phoneticPr fontId="1" type="noConversion"/>
  </si>
  <si>
    <t xml:space="preserve">   INT列(c40,AI脚本的ID,-1,99999999,-1)</t>
    <phoneticPr fontId="1" type="noConversion"/>
  </si>
  <si>
    <t xml:space="preserve">   INT列(c41,掉落包1ID,-1,99999999,-1)</t>
    <phoneticPr fontId="1" type="noConversion"/>
  </si>
  <si>
    <t xml:space="preserve">   INT列(c42,掉落包2ID,-1,99999999,-1)</t>
    <phoneticPr fontId="1" type="noConversion"/>
  </si>
  <si>
    <t xml:space="preserve">   INT列(c43,掉落包3ID,-1,99999999,-1)</t>
    <phoneticPr fontId="1" type="noConversion"/>
  </si>
  <si>
    <t xml:space="preserve">   INT列(c44,掉落包4ID,-1,99999999,-1)</t>
    <phoneticPr fontId="1" type="noConversion"/>
  </si>
  <si>
    <t xml:space="preserve">   INT列(c45,掉落包5ID,-1,99999999,-1)</t>
    <phoneticPr fontId="1" type="noConversion"/>
  </si>
  <si>
    <t>普通攻击技能ID</t>
    <phoneticPr fontId="1" type="noConversion"/>
  </si>
  <si>
    <t>扩展ID</t>
    <phoneticPr fontId="1" type="noConversion"/>
  </si>
  <si>
    <t>INT</t>
    <phoneticPr fontId="1" type="noConversion"/>
  </si>
  <si>
    <t>c5</t>
    <phoneticPr fontId="1" type="noConversion"/>
  </si>
  <si>
    <t xml:space="preserve">   STRING列(c2,角色名称,16,未命名角色)</t>
    <phoneticPr fontId="1" type="noConversion"/>
  </si>
  <si>
    <t xml:space="preserve">   STRING列(c3,角色描述,32,"")</t>
    <phoneticPr fontId="1" type="noConversion"/>
  </si>
  <si>
    <t>表结束(c1)</t>
    <phoneticPr fontId="1" type="noConversion"/>
  </si>
  <si>
    <t>Character</t>
    <phoneticPr fontId="1" type="noConversion"/>
  </si>
  <si>
    <t>Actor</t>
    <phoneticPr fontId="1" type="noConversion"/>
  </si>
  <si>
    <t>职业</t>
    <phoneticPr fontId="1" type="noConversion"/>
  </si>
  <si>
    <t>战士,祭司,刺客,游侠</t>
    <phoneticPr fontId="1" type="noConversion"/>
  </si>
  <si>
    <t>单选</t>
    <phoneticPr fontId="1" type="noConversion"/>
  </si>
  <si>
    <t>性别</t>
    <phoneticPr fontId="1" type="noConversion"/>
  </si>
  <si>
    <t>男,女</t>
    <phoneticPr fontId="1" type="noConversion"/>
  </si>
  <si>
    <t>阵营</t>
    <phoneticPr fontId="1" type="noConversion"/>
  </si>
  <si>
    <t>c7</t>
    <phoneticPr fontId="1" type="noConversion"/>
  </si>
  <si>
    <t>敌人,中立,友好,队伍,所有</t>
    <phoneticPr fontId="1" type="noConversion"/>
  </si>
  <si>
    <t xml:space="preserve">   索引列(c1,索引ID,"Character",-1)</t>
    <phoneticPr fontId="1" type="noConversion"/>
  </si>
  <si>
    <t xml:space="preserve">   单选列(c4,职业,"战士,祭司,刺客,游侠",0)</t>
    <phoneticPr fontId="1" type="noConversion"/>
  </si>
  <si>
    <t xml:space="preserve">   单选列(c5,性别,"男,女",-1)</t>
    <phoneticPr fontId="1" type="noConversion"/>
  </si>
  <si>
    <t>创建角色表</t>
    <phoneticPr fontId="1" type="noConversion"/>
  </si>
  <si>
    <t>表起始(Actor,创建角色表,角色属性相关)</t>
    <phoneticPr fontId="1" type="noConversion"/>
  </si>
  <si>
    <t>CharacterBase</t>
    <phoneticPr fontId="1" type="noConversion"/>
  </si>
  <si>
    <t>角色,NPC,怪物</t>
    <phoneticPr fontId="1" type="noConversion"/>
  </si>
  <si>
    <t>角色类型</t>
    <phoneticPr fontId="1" type="noConversion"/>
  </si>
  <si>
    <t>CharModel</t>
    <phoneticPr fontId="1" type="noConversion"/>
  </si>
  <si>
    <t>称号</t>
  </si>
  <si>
    <t>资源路径</t>
  </si>
  <si>
    <t>动作路径</t>
  </si>
  <si>
    <t>头像</t>
  </si>
  <si>
    <t>对话半身像</t>
  </si>
  <si>
    <t>头顶信息板高度修正</t>
  </si>
  <si>
    <t>缩放比例</t>
  </si>
  <si>
    <t>c1</t>
    <phoneticPr fontId="1" type="noConversion"/>
  </si>
  <si>
    <t>索引ID</t>
    <phoneticPr fontId="1" type="noConversion"/>
  </si>
  <si>
    <t>角色名称</t>
    <phoneticPr fontId="1" type="noConversion"/>
  </si>
  <si>
    <t>死亡音效</t>
    <phoneticPr fontId="1" type="noConversion"/>
  </si>
  <si>
    <t>Sound</t>
    <phoneticPr fontId="1" type="noConversion"/>
  </si>
  <si>
    <t>索引</t>
    <phoneticPr fontId="1" type="noConversion"/>
  </si>
  <si>
    <t>c30</t>
    <phoneticPr fontId="1" type="noConversion"/>
  </si>
  <si>
    <t>Charmodel</t>
    <phoneticPr fontId="1" type="noConversion"/>
  </si>
  <si>
    <t xml:space="preserve">   INT列(c1,索引ID,0,99999999,1)</t>
    <phoneticPr fontId="1" type="noConversion"/>
  </si>
  <si>
    <t xml:space="preserve">   STRING列(c2,角色名称,16,未命名角色)</t>
    <phoneticPr fontId="1" type="noConversion"/>
  </si>
  <si>
    <t xml:space="preserve">   STRING列(c3,角色描述,32,"")</t>
    <phoneticPr fontId="1" type="noConversion"/>
  </si>
  <si>
    <t xml:space="preserve">   单选列(c6,性别,"男,女",-1)</t>
    <phoneticPr fontId="1" type="noConversion"/>
  </si>
  <si>
    <t xml:space="preserve">   单选列(c7,阵营,"敌人,中立,友好,队伍,所有",1)</t>
    <phoneticPr fontId="1" type="noConversion"/>
  </si>
  <si>
    <t xml:space="preserve">   INT列(c8,等级,0,99999999,1)</t>
    <phoneticPr fontId="1" type="noConversion"/>
  </si>
  <si>
    <t xml:space="preserve">   INT列(c9,力量,0,99999999,1)</t>
    <phoneticPr fontId="1" type="noConversion"/>
  </si>
  <si>
    <t xml:space="preserve">   INT列(c10,敏捷,0,99999999,1)</t>
    <phoneticPr fontId="1" type="noConversion"/>
  </si>
  <si>
    <t xml:space="preserve">   INT列(c11,智力,0,99999999,1)</t>
    <phoneticPr fontId="1" type="noConversion"/>
  </si>
  <si>
    <t xml:space="preserve">   INT列(c12,耐力,0,99999999,1)</t>
    <phoneticPr fontId="1" type="noConversion"/>
  </si>
  <si>
    <t xml:space="preserve">   INT列(c13,攻击,0,99999999,1)</t>
    <phoneticPr fontId="1" type="noConversion"/>
  </si>
  <si>
    <t xml:space="preserve">   INT列(c14,生命值,0,99999999,1)</t>
    <phoneticPr fontId="1" type="noConversion"/>
  </si>
  <si>
    <t xml:space="preserve">   INT列(c15,法力值,0,99999999,1)</t>
    <phoneticPr fontId="1" type="noConversion"/>
  </si>
  <si>
    <t xml:space="preserve">   INT列(c16,物理护甲,0,99999999,1)</t>
    <phoneticPr fontId="1" type="noConversion"/>
  </si>
  <si>
    <t xml:space="preserve">   INT列(c17,法术抗性,0,99999999,1)</t>
    <phoneticPr fontId="1" type="noConversion"/>
  </si>
  <si>
    <t xml:space="preserve">   INT列(c19,移动速度,0,99999999,1)</t>
    <phoneticPr fontId="1" type="noConversion"/>
  </si>
  <si>
    <t xml:space="preserve">   INT列(c20,命中等级,0,99999999,1)</t>
    <phoneticPr fontId="1" type="noConversion"/>
  </si>
  <si>
    <t xml:space="preserve">   INT列(c21,闪避等级,0,99999999,1)</t>
    <phoneticPr fontId="1" type="noConversion"/>
  </si>
  <si>
    <t xml:space="preserve">   INT列(c22,暴击等级,0,99999999,1)</t>
    <phoneticPr fontId="1" type="noConversion"/>
  </si>
  <si>
    <t xml:space="preserve">   INT列(c23,韧性等级,0,99999999,1)</t>
    <phoneticPr fontId="1" type="noConversion"/>
  </si>
  <si>
    <t xml:space="preserve">   INT列(c24,命中率,0,99999999,1)</t>
    <phoneticPr fontId="1" type="noConversion"/>
  </si>
  <si>
    <t xml:space="preserve">   INT列(c25,闪避率,0,99999999,1)</t>
    <phoneticPr fontId="1" type="noConversion"/>
  </si>
  <si>
    <t xml:space="preserve">   INT列(c26,暴击率,0,99999999,1)</t>
    <phoneticPr fontId="1" type="noConversion"/>
  </si>
  <si>
    <t xml:space="preserve">   INT列(c27,韧性率,0,99999999,1)</t>
    <phoneticPr fontId="1" type="noConversion"/>
  </si>
  <si>
    <t xml:space="preserve">   INT列(c28,怒气,0,99999999,1)</t>
    <phoneticPr fontId="1" type="noConversion"/>
  </si>
  <si>
    <t xml:space="preserve">   索引列(c29,普通攻击技能ID,"Skill",-1)</t>
    <phoneticPr fontId="1" type="noConversion"/>
  </si>
  <si>
    <t>表结束(c1)</t>
    <phoneticPr fontId="1" type="noConversion"/>
  </si>
  <si>
    <t xml:space="preserve">   索引列(c1,索引ID,"Actor",-1)</t>
    <phoneticPr fontId="1" type="noConversion"/>
  </si>
  <si>
    <t xml:space="preserve">   STRING列(c2,NPC名称,16,未描述)</t>
    <phoneticPr fontId="1" type="noConversion"/>
  </si>
  <si>
    <t xml:space="preserve">   STRING列(c3,NPC描述,16,未描述)</t>
    <phoneticPr fontId="1" type="noConversion"/>
  </si>
  <si>
    <t xml:space="preserve">   单选列(c7,阵营ID,"友好,中立,敌对",0)</t>
    <phoneticPr fontId="1" type="noConversion"/>
  </si>
  <si>
    <t xml:space="preserve">   单选列(c8,NPC类别,"普通,精英,BOSS",0)</t>
    <phoneticPr fontId="1" type="noConversion"/>
  </si>
  <si>
    <t xml:space="preserve">   STRING列(c9,NPC称谓,16,未描述)</t>
    <phoneticPr fontId="1" type="noConversion"/>
  </si>
  <si>
    <t xml:space="preserve">   STRING列(c12,泡泡1,16,未描述)</t>
    <phoneticPr fontId="1" type="noConversion"/>
  </si>
  <si>
    <t xml:space="preserve">   STRING列(c13,泡泡2,16,未描述)</t>
    <phoneticPr fontId="1" type="noConversion"/>
  </si>
  <si>
    <t xml:space="preserve">   STRING列(c14,泡泡3,16,未描述)</t>
    <phoneticPr fontId="1" type="noConversion"/>
  </si>
  <si>
    <t xml:space="preserve">   INT列(c15,NPC等级,-1,99999999,-1)</t>
    <phoneticPr fontId="1" type="noConversion"/>
  </si>
  <si>
    <t xml:space="preserve">   FLOAT列(c16,NPC对话半径,-1,99999999,-1)</t>
    <phoneticPr fontId="1" type="noConversion"/>
  </si>
  <si>
    <t xml:space="preserve">   单选列(c17,是否随机游荡,"否,是",0)</t>
    <phoneticPr fontId="1" type="noConversion"/>
  </si>
  <si>
    <t xml:space="preserve">   FLOAT列(c18,游荡半径,-1,99999999,-1)</t>
    <phoneticPr fontId="1" type="noConversion"/>
  </si>
  <si>
    <t xml:space="preserve">   FLOAT列(c19,警戒范围,-1,99999999,-1)</t>
    <phoneticPr fontId="1" type="noConversion"/>
  </si>
  <si>
    <t xml:space="preserve">   FLOAT列(c20,脱战范围,-1,99999999,-1)</t>
    <phoneticPr fontId="1" type="noConversion"/>
  </si>
  <si>
    <t xml:space="preserve">   INT列(c32,出生特效,-1,99999999,-1)</t>
    <phoneticPr fontId="1" type="noConversion"/>
  </si>
  <si>
    <t xml:space="preserve">   INT列(c33,死亡特效,-1,99999999,-1)</t>
    <phoneticPr fontId="1" type="noConversion"/>
  </si>
  <si>
    <t xml:space="preserve">   单选列(c34,死亡是否被击飞,"否,是",0)</t>
    <phoneticPr fontId="1" type="noConversion"/>
  </si>
  <si>
    <t xml:space="preserve">   INT列(c35,尸体存在时间（毫秒）,-1,99999999,-1)</t>
    <phoneticPr fontId="1" type="noConversion"/>
  </si>
  <si>
    <t xml:space="preserve">   单选列(c36,是否自动复活,"否,是",0)</t>
    <phoneticPr fontId="1" type="noConversion"/>
  </si>
  <si>
    <t xml:space="preserve">   INT列(c37,复活等待时间（毫秒）,-1,99999999,-1)</t>
    <phoneticPr fontId="1" type="noConversion"/>
  </si>
  <si>
    <t xml:space="preserve">   INT列(c38,提供经验值,-1,99999999,-1)</t>
    <phoneticPr fontId="1" type="noConversion"/>
  </si>
  <si>
    <t xml:space="preserve">   单选列(c39,拾取归属类型,"造成伤害的所有人,造成伤害最高的人,最先造成伤害的人,完成最后一击的人",0)</t>
    <phoneticPr fontId="1" type="noConversion"/>
  </si>
  <si>
    <t xml:space="preserve">   INT列(c40,AI脚本的ID,-1,99999999,-1)</t>
    <phoneticPr fontId="1" type="noConversion"/>
  </si>
  <si>
    <t xml:space="preserve">   INT列(c41,掉落包1ID,-1,99999999,-1)</t>
    <phoneticPr fontId="1" type="noConversion"/>
  </si>
  <si>
    <t xml:space="preserve">   INT列(c42,掉落包2ID,-1,99999999,-1)</t>
    <phoneticPr fontId="1" type="noConversion"/>
  </si>
  <si>
    <t xml:space="preserve">   INT列(c43,掉落包3ID,-1,99999999,-1)</t>
    <phoneticPr fontId="1" type="noConversion"/>
  </si>
  <si>
    <t xml:space="preserve">   INT列(c44,掉落包4ID,-1,99999999,-1)</t>
    <phoneticPr fontId="1" type="noConversion"/>
  </si>
  <si>
    <t xml:space="preserve">   INT列(c45,掉落包5ID,-1,99999999,-1)</t>
    <phoneticPr fontId="1" type="noConversion"/>
  </si>
  <si>
    <t>表起始(CharacterBase,基础角色表,角色属性相关)</t>
    <phoneticPr fontId="1" type="noConversion"/>
  </si>
  <si>
    <t xml:space="preserve">   单选列(c4,角色类型,"角色,NPC,怪物",1)</t>
    <phoneticPr fontId="1" type="noConversion"/>
  </si>
  <si>
    <t>索引</t>
    <phoneticPr fontId="1" type="noConversion"/>
  </si>
  <si>
    <t>Actor,NpcBase</t>
    <phoneticPr fontId="1" type="noConversion"/>
  </si>
  <si>
    <t xml:space="preserve">   索引列(c5,扩展ID,"Actor,NpcBase",-1)</t>
    <phoneticPr fontId="1" type="noConversion"/>
  </si>
  <si>
    <t xml:space="preserve">   INT列(c18,暴击伤害,0,99999999,1)</t>
    <phoneticPr fontId="1" type="noConversion"/>
  </si>
  <si>
    <t xml:space="preserve">   INT列(c1,索引ID,0,99999999,1)</t>
    <phoneticPr fontId="1" type="noConversion"/>
  </si>
  <si>
    <t xml:space="preserve">   STRING列(c2,角色名称,16,"")</t>
    <phoneticPr fontId="1" type="noConversion"/>
  </si>
  <si>
    <t xml:space="preserve">   STRING列(c3,称号,16,"")</t>
    <phoneticPr fontId="1" type="noConversion"/>
  </si>
  <si>
    <t xml:space="preserve">   STRING列(c4,资源路径,16,"")</t>
    <phoneticPr fontId="1" type="noConversion"/>
  </si>
  <si>
    <t xml:space="preserve">   STRING列(c5,动作路径,16,"")</t>
    <phoneticPr fontId="1" type="noConversion"/>
  </si>
  <si>
    <t xml:space="preserve">   STRING列(c6,头像,16,"")</t>
    <phoneticPr fontId="1" type="noConversion"/>
  </si>
  <si>
    <t xml:space="preserve">   STRING列(c7,对话半身像,16,"")</t>
    <phoneticPr fontId="1" type="noConversion"/>
  </si>
  <si>
    <t xml:space="preserve">   FLOAT列(c8,头顶信息板高度修正,0,99999999,0)</t>
    <phoneticPr fontId="1" type="noConversion"/>
  </si>
  <si>
    <t xml:space="preserve">   FLOAT列(c9,缩放比例,0,99999999,0)</t>
    <phoneticPr fontId="1" type="noConversion"/>
  </si>
  <si>
    <t>CharModel表</t>
    <phoneticPr fontId="1" type="noConversion"/>
  </si>
  <si>
    <t>charmodel索引ID</t>
    <phoneticPr fontId="1" type="noConversion"/>
  </si>
  <si>
    <t xml:space="preserve">   索引列(c30,charmodel索引ID,"Charmodel",-1)</t>
    <phoneticPr fontId="1" type="noConversion"/>
  </si>
  <si>
    <t>表起始(CharModel,CharModel表,角色属性相关)</t>
    <phoneticPr fontId="1" type="noConversion"/>
  </si>
  <si>
    <t xml:space="preserve">   INT列(c5,耐力,0,99999999,0)</t>
    <phoneticPr fontId="1" type="noConversion"/>
  </si>
  <si>
    <t xml:space="preserve">   索引列(c10,死亡音效,"Sound",-1)</t>
    <phoneticPr fontId="1" type="noConversion"/>
  </si>
  <si>
    <t>出生攻击技能ID1</t>
    <phoneticPr fontId="1" type="noConversion"/>
  </si>
  <si>
    <t>出生攻击技能ID2</t>
  </si>
  <si>
    <t>出生攻击技能ID3</t>
  </si>
  <si>
    <t>出生攻击技能ID4</t>
  </si>
  <si>
    <t>出生攻击技能ID5</t>
  </si>
  <si>
    <t>出生攻击技能ID6</t>
  </si>
  <si>
    <t>出生攻击技能ID7</t>
  </si>
  <si>
    <t>出生攻击技能ID8</t>
  </si>
  <si>
    <t>出生攻击技能ID9</t>
  </si>
  <si>
    <t>出生攻击技能ID10</t>
  </si>
  <si>
    <t>出生攻击技能ID11</t>
  </si>
  <si>
    <t>出生攻击技能ID12</t>
  </si>
  <si>
    <t>出生攻击技能ID13</t>
  </si>
  <si>
    <t>出生攻击技能ID14</t>
  </si>
  <si>
    <t>出生攻击技能ID15</t>
  </si>
  <si>
    <t>出生攻击技能ID16</t>
  </si>
  <si>
    <t>出生攻击技能ID17</t>
  </si>
  <si>
    <t>c46</t>
  </si>
  <si>
    <t>出生攻击技能ID18</t>
  </si>
  <si>
    <t>c47</t>
  </si>
  <si>
    <t>出生攻击技能ID19</t>
  </si>
  <si>
    <t>c48</t>
  </si>
  <si>
    <t>出生攻击技能ID20</t>
  </si>
  <si>
    <t>表起始(Character,基础角色表,角色属性相关)</t>
    <phoneticPr fontId="1" type="noConversion"/>
  </si>
  <si>
    <t xml:space="preserve">   INT列(c1,索引ID,0,99999999,1)</t>
    <phoneticPr fontId="1" type="noConversion"/>
  </si>
  <si>
    <t xml:space="preserve">   STRING列(c2,角色名称,16,未命名角色)</t>
    <phoneticPr fontId="1" type="noConversion"/>
  </si>
  <si>
    <t xml:space="preserve">   单选列(c4,角色类型（0角色1NPC和怪物）,"角色,NPC和怪物",1)</t>
    <phoneticPr fontId="1" type="noConversion"/>
  </si>
  <si>
    <t xml:space="preserve">   INT列(c5,扩展ID,-1,99999999,-1)</t>
    <phoneticPr fontId="1" type="noConversion"/>
  </si>
  <si>
    <t xml:space="preserve">   单选列(c6,性别,"男,女",-1)</t>
    <phoneticPr fontId="1" type="noConversion"/>
  </si>
  <si>
    <t xml:space="preserve">   单选列(c7,阵营,"敌人,中立,友好,队伍,所有",1)</t>
    <phoneticPr fontId="1" type="noConversion"/>
  </si>
  <si>
    <t xml:space="preserve">   INT列(c9,力量,0,99999999,1)</t>
    <phoneticPr fontId="1" type="noConversion"/>
  </si>
  <si>
    <t xml:space="preserve">   INT列(c10,敏捷,0,99999999,1)</t>
    <phoneticPr fontId="1" type="noConversion"/>
  </si>
  <si>
    <t xml:space="preserve">   INT列(c12,耐力,0,99999999,1)</t>
    <phoneticPr fontId="1" type="noConversion"/>
  </si>
  <si>
    <t xml:space="preserve">   INT列(c13,攻击,0,99999999,1)</t>
    <phoneticPr fontId="1" type="noConversion"/>
  </si>
  <si>
    <t xml:space="preserve">   INT列(c16,物理护甲,0,99999999,1)</t>
    <phoneticPr fontId="1" type="noConversion"/>
  </si>
  <si>
    <t xml:space="preserve">   INT列(c17,法术抗性,0,99999999,1)</t>
    <phoneticPr fontId="1" type="noConversion"/>
  </si>
  <si>
    <t xml:space="preserve">   INT列(c18,暴击伤害,0,99999999,1)</t>
    <phoneticPr fontId="1" type="noConversion"/>
  </si>
  <si>
    <t xml:space="preserve">   INT列(c19,移动速度,0,99999999,1)</t>
    <phoneticPr fontId="1" type="noConversion"/>
  </si>
  <si>
    <t xml:space="preserve">   INT列(c20,命中等级,0,99999999,1)</t>
    <phoneticPr fontId="1" type="noConversion"/>
  </si>
  <si>
    <t xml:space="preserve">   INT列(c21,闪避等级,0,99999999,1)</t>
    <phoneticPr fontId="1" type="noConversion"/>
  </si>
  <si>
    <t xml:space="preserve">   INT列(c22,暴击等级,0,99999999,1)</t>
    <phoneticPr fontId="1" type="noConversion"/>
  </si>
  <si>
    <t xml:space="preserve">   INT列(c23,韧性等级,0,99999999,1)</t>
    <phoneticPr fontId="1" type="noConversion"/>
  </si>
  <si>
    <t xml:space="preserve">   INT列(c24,命中率,0,99999999,1)</t>
    <phoneticPr fontId="1" type="noConversion"/>
  </si>
  <si>
    <t xml:space="preserve">   INT列(c25,闪避率,0,99999999,1)</t>
    <phoneticPr fontId="1" type="noConversion"/>
  </si>
  <si>
    <t xml:space="preserve">   INT列(c26,暴击率,0,99999999,1)</t>
    <phoneticPr fontId="1" type="noConversion"/>
  </si>
  <si>
    <t xml:space="preserve">   INT列(c27,韧性率,0,99999999,1)</t>
    <phoneticPr fontId="1" type="noConversion"/>
  </si>
  <si>
    <t xml:space="preserve">   INT列(c28,怒气,0,99999999,1)</t>
    <phoneticPr fontId="1" type="noConversion"/>
  </si>
  <si>
    <t xml:space="preserve">   索引列(c29,普通攻击技能ID,"Skill",-1)</t>
    <phoneticPr fontId="1" type="noConversion"/>
  </si>
  <si>
    <t>表结束(c1)</t>
    <phoneticPr fontId="1" type="noConversion"/>
  </si>
  <si>
    <t xml:space="preserve">   索引列(c1,索引ID,"Actor",-1)</t>
    <phoneticPr fontId="1" type="noConversion"/>
  </si>
  <si>
    <t xml:space="preserve">   STRING列(c2,NPC名称,16,未描述)</t>
    <phoneticPr fontId="1" type="noConversion"/>
  </si>
  <si>
    <t xml:space="preserve">   STRING列(c3,NPC描述,16,未描述)</t>
    <phoneticPr fontId="1" type="noConversion"/>
  </si>
  <si>
    <t xml:space="preserve">   单选列(c7,阵营ID,"友好,中立,敌对",0)</t>
    <phoneticPr fontId="1" type="noConversion"/>
  </si>
  <si>
    <t xml:space="preserve">   单选列(c8,NPC类别,"普通,精英,BOSS",0)</t>
    <phoneticPr fontId="1" type="noConversion"/>
  </si>
  <si>
    <t xml:space="preserve">   STRING列(c9,NPC称谓,16,未描述)</t>
    <phoneticPr fontId="1" type="noConversion"/>
  </si>
  <si>
    <t xml:space="preserve">   STRING列(c12,泡泡1,16,未描述)</t>
    <phoneticPr fontId="1" type="noConversion"/>
  </si>
  <si>
    <t xml:space="preserve">   STRING列(c13,泡泡2,16,未描述)</t>
    <phoneticPr fontId="1" type="noConversion"/>
  </si>
  <si>
    <t xml:space="preserve">   STRING列(c14,泡泡3,16,未描述)</t>
    <phoneticPr fontId="1" type="noConversion"/>
  </si>
  <si>
    <t xml:space="preserve">   INT列(c15,NPC等级,-1,99999999,-1)</t>
    <phoneticPr fontId="1" type="noConversion"/>
  </si>
  <si>
    <t xml:space="preserve">   单选列(c17,是否随机游荡,"否,是",0)</t>
    <phoneticPr fontId="1" type="noConversion"/>
  </si>
  <si>
    <t xml:space="preserve">   FLOAT列(c18,游荡半径,-1,99999999,-1)</t>
    <phoneticPr fontId="1" type="noConversion"/>
  </si>
  <si>
    <t xml:space="preserve">   FLOAT列(c19,警戒范围,-1,99999999,-1)</t>
    <phoneticPr fontId="1" type="noConversion"/>
  </si>
  <si>
    <t xml:space="preserve">   FLOAT列(c20,脱战范围,-1,99999999,-1)</t>
    <phoneticPr fontId="1" type="noConversion"/>
  </si>
  <si>
    <t xml:space="preserve">   INT列(c32,出生特效,-1,99999999,-1)</t>
    <phoneticPr fontId="1" type="noConversion"/>
  </si>
  <si>
    <t xml:space="preserve">   INT列(c33,死亡特效,-1,99999999,-1)</t>
    <phoneticPr fontId="1" type="noConversion"/>
  </si>
  <si>
    <t xml:space="preserve">   单选列(c34,死亡是否被击飞,"否,是",0)</t>
    <phoneticPr fontId="1" type="noConversion"/>
  </si>
  <si>
    <t xml:space="preserve">   INT列(c35,尸体存在时间（毫秒）,-1,99999999,-1)</t>
    <phoneticPr fontId="1" type="noConversion"/>
  </si>
  <si>
    <t xml:space="preserve">   单选列(c36,是否自动复活,"否,是",0)</t>
    <phoneticPr fontId="1" type="noConversion"/>
  </si>
  <si>
    <t xml:space="preserve">   INT列(c37,复活等待时间（毫秒）,-1,99999999,-1)</t>
    <phoneticPr fontId="1" type="noConversion"/>
  </si>
  <si>
    <t xml:space="preserve">   INT列(c38,提供经验值,-1,99999999,-1)</t>
    <phoneticPr fontId="1" type="noConversion"/>
  </si>
  <si>
    <t xml:space="preserve">   单选列(c39,拾取归属类型,"造成伤害的所有人,造成伤害最高的人,最先造成伤害的人,完成最后一击的人",0)</t>
    <phoneticPr fontId="1" type="noConversion"/>
  </si>
  <si>
    <t xml:space="preserve">   INT列(c40,AI脚本的ID,-1,99999999,-1)</t>
    <phoneticPr fontId="1" type="noConversion"/>
  </si>
  <si>
    <t xml:space="preserve">   INT列(c41,掉落包1ID,-1,99999999,-1)</t>
    <phoneticPr fontId="1" type="noConversion"/>
  </si>
  <si>
    <t xml:space="preserve">   INT列(c42,掉落包2ID,-1,99999999,-1)</t>
    <phoneticPr fontId="1" type="noConversion"/>
  </si>
  <si>
    <t xml:space="preserve">   INT列(c43,掉落包3ID,-1,99999999,-1)</t>
    <phoneticPr fontId="1" type="noConversion"/>
  </si>
  <si>
    <t xml:space="preserve">   INT列(c44,掉落包4ID,-1,99999999,-1)</t>
    <phoneticPr fontId="1" type="noConversion"/>
  </si>
  <si>
    <t xml:space="preserve">   INT列(c45,掉落包5ID,-1,99999999,-1)</t>
    <phoneticPr fontId="1" type="noConversion"/>
  </si>
  <si>
    <t>表起始(Skill,基础技能表,角色技能相关)</t>
    <phoneticPr fontId="1" type="noConversion"/>
  </si>
  <si>
    <t xml:space="preserve">   INT列(c1,技能ID,0,99999999,1)</t>
    <phoneticPr fontId="1" type="noConversion"/>
  </si>
  <si>
    <t xml:space="preserve">   STRING列(c2,技能名称,32,未命名技能)</t>
    <phoneticPr fontId="1" type="noConversion"/>
  </si>
  <si>
    <t xml:space="preserve">   STRING列(c3,技能描述,32,技能描述)</t>
    <phoneticPr fontId="1" type="noConversion"/>
  </si>
  <si>
    <t xml:space="preserve">   索引列(c4,技能类型,"SkillType",-1)</t>
    <phoneticPr fontId="1" type="noConversion"/>
  </si>
  <si>
    <t xml:space="preserve">   INT列(c5,后续技能,-1,99999999,-1)</t>
    <phoneticPr fontId="1" type="noConversion"/>
  </si>
  <si>
    <t xml:space="preserve">   INT列(c6,技能消耗,-1,99999999,-1)</t>
    <phoneticPr fontId="1" type="noConversion"/>
  </si>
  <si>
    <t xml:space="preserve">   INT列(c7,技能冷却,-1,99999999,-1)</t>
    <phoneticPr fontId="1" type="noConversion"/>
  </si>
  <si>
    <t xml:space="preserve">   单选列(c8,是否公共冷却,"0,1",0)</t>
    <phoneticPr fontId="1" type="noConversion"/>
  </si>
  <si>
    <t xml:space="preserve">   STRING列(c10,技能icon,16,图标)</t>
    <phoneticPr fontId="1" type="noConversion"/>
  </si>
  <si>
    <t xml:space="preserve">   INT列(c11,技能前摇（僵直）,0,99999999,0)</t>
    <phoneticPr fontId="1" type="noConversion"/>
  </si>
  <si>
    <t xml:space="preserve">   INT列(c12,技能动作时间,0,99999999,0)</t>
    <phoneticPr fontId="1" type="noConversion"/>
  </si>
  <si>
    <t xml:space="preserve">   单选列(c13,技能范围类型,"以角色为底边的长方形,以角色为圆心的扇形,当前目标,当前目标和角色为两底边的长方形,当前目标为圆心的圆形,自身,当前目标和角色中线为中心的扇形,依次寻找最近的目标攻击",-1)</t>
    <phoneticPr fontId="1" type="noConversion"/>
  </si>
  <si>
    <t xml:space="preserve">   INT列(c14,范围参数1,-1,99999999,-1)</t>
    <phoneticPr fontId="1" type="noConversion"/>
  </si>
  <si>
    <t xml:space="preserve">   INT列(c15,范围参数2,-1,99999999,0)</t>
    <phoneticPr fontId="1" type="noConversion"/>
  </si>
  <si>
    <t xml:space="preserve">   单选列(c16,技能目标阵营,"0,1,2",0)</t>
    <phoneticPr fontId="1" type="noConversion"/>
  </si>
  <si>
    <t xml:space="preserve">   索引列(c17,同时生效技能,"Skill",-1)</t>
    <phoneticPr fontId="1" type="noConversion"/>
  </si>
  <si>
    <t xml:space="preserve">   INT列(c18,天赋影响BUFF,-1,99999999,-1)</t>
    <phoneticPr fontId="1" type="noConversion"/>
  </si>
  <si>
    <t xml:space="preserve">   INT列(c19,引导时间,-1,99999999,-1)</t>
    <phoneticPr fontId="1" type="noConversion"/>
  </si>
  <si>
    <t xml:space="preserve">   INT列(c20,引导生效间隔,-1,99999999,-1)</t>
    <phoneticPr fontId="1" type="noConversion"/>
  </si>
  <si>
    <t xml:space="preserve">   INT列(c21,是否可移动,-1,99999999,-1)</t>
    <phoneticPr fontId="1" type="noConversion"/>
  </si>
  <si>
    <t xml:space="preserve">   索引列(c22,BUFF1ID,"Buff",-1)</t>
    <phoneticPr fontId="1" type="noConversion"/>
  </si>
  <si>
    <t xml:space="preserve">   索引列(c23,BUFF2ID,"Buff",-1)</t>
    <phoneticPr fontId="1" type="noConversion"/>
  </si>
  <si>
    <t xml:space="preserve">   索引列(c24,BUFF3ID,"Buff",-1)</t>
    <phoneticPr fontId="1" type="noConversion"/>
  </si>
  <si>
    <t xml:space="preserve">   索引列(c25,BUFF4ID,"Buff",-1)</t>
    <phoneticPr fontId="1" type="noConversion"/>
  </si>
  <si>
    <t>表起始(Buff,效果逻辑表,角色技能相关)</t>
    <phoneticPr fontId="1" type="noConversion"/>
  </si>
  <si>
    <t xml:space="preserve">   INT列(c1,BUFFID,0,99999999,1)</t>
    <phoneticPr fontId="1" type="noConversion"/>
  </si>
  <si>
    <t xml:space="preserve">   INT列(c3,持续时间,-1,99999999,-1)</t>
    <phoneticPr fontId="1" type="noConversion"/>
  </si>
  <si>
    <t xml:space="preserve">   INT列(c4,BUFF效果组,-1,99999999,-1)</t>
    <phoneticPr fontId="1" type="noConversion"/>
  </si>
  <si>
    <t xml:space="preserve">   INT列(c5,BUFF交替组,-1,99999999,-1)</t>
    <phoneticPr fontId="1" type="noConversion"/>
  </si>
  <si>
    <t xml:space="preserve">   INT列(c6,BUFF优先级,-1,99999999,-1)</t>
    <phoneticPr fontId="1" type="noConversion"/>
  </si>
  <si>
    <t xml:space="preserve">   INT列(c8,叠加层数上限,-1,99999999,-1)</t>
    <phoneticPr fontId="1" type="noConversion"/>
  </si>
  <si>
    <t xml:space="preserve">   索引列(c9,BUFF类型,"BuffLogic",-1)</t>
    <phoneticPr fontId="1" type="noConversion"/>
  </si>
  <si>
    <t xml:space="preserve">   复选列(c10,BUFF触发点,"获得时,消失时,将要死亡时,死亡时,造成死亡时,暴击时,闪避时,造成伤害时,受到伤害时,造成治疗时,受到治疗时,每秒,每3秒,每5秒",1)</t>
    <phoneticPr fontId="1" type="noConversion"/>
  </si>
  <si>
    <t xml:space="preserve">   INT列(c11,参数1,-9999999,9999999,0)</t>
    <phoneticPr fontId="1" type="noConversion"/>
  </si>
  <si>
    <t xml:space="preserve">   INT列(c12,参数2,-9999999,9999999,0)</t>
    <phoneticPr fontId="1" type="noConversion"/>
  </si>
  <si>
    <t xml:space="preserve">   INT列(c13,参数3,-9999999,9999999,0)</t>
    <phoneticPr fontId="1" type="noConversion"/>
  </si>
  <si>
    <t xml:space="preserve">   INT列(c14,参数4,-9999999,9999999,0)</t>
    <phoneticPr fontId="1" type="noConversion"/>
  </si>
  <si>
    <t xml:space="preserve">   INT列(c15,参数5,-9999999,9999999,0)</t>
    <phoneticPr fontId="1" type="noConversion"/>
  </si>
  <si>
    <t xml:space="preserve">   INT列(c16,参数6,-9999999,9999999,0)</t>
    <phoneticPr fontId="1" type="noConversion"/>
  </si>
  <si>
    <t xml:space="preserve">   索引列(c17,BUFF类型,"BuffLogic",-1)</t>
    <phoneticPr fontId="1" type="noConversion"/>
  </si>
  <si>
    <t xml:space="preserve">   复选列(c18,BUFF触发点,"获得时,消失时,将要死亡时,死亡时,造成死亡时,暴击时,闪避时,造成伤害时,受到伤害时,造成治疗时,受到治疗时,每秒,每3秒,每5秒",1)</t>
    <phoneticPr fontId="1" type="noConversion"/>
  </si>
  <si>
    <t xml:space="preserve">   INT列(c19,参数1,-9999999,9999999,0)</t>
    <phoneticPr fontId="1" type="noConversion"/>
  </si>
  <si>
    <t xml:space="preserve">   INT列(c20,参数2,-9999999,9999999,0)</t>
    <phoneticPr fontId="1" type="noConversion"/>
  </si>
  <si>
    <t xml:space="preserve">   INT列(c21,参数3,-9999999,9999999,0)</t>
    <phoneticPr fontId="1" type="noConversion"/>
  </si>
  <si>
    <t xml:space="preserve">   INT列(c22,参数4,-9999999,9999999,0)</t>
    <phoneticPr fontId="1" type="noConversion"/>
  </si>
  <si>
    <t xml:space="preserve">   INT列(c23,参数5,-9999999,9999999,0)</t>
    <phoneticPr fontId="1" type="noConversion"/>
  </si>
  <si>
    <t xml:space="preserve">   INT列(c24,参数6,-9999999,9999999,0)</t>
    <phoneticPr fontId="1" type="noConversion"/>
  </si>
  <si>
    <t xml:space="preserve">   索引列(c25,BUFF类型,"BuffLogic",-1)</t>
    <phoneticPr fontId="1" type="noConversion"/>
  </si>
  <si>
    <t xml:space="preserve">   复选列(c26,BUFF触发点,"获得时,消失时,将要死亡时,死亡时,造成死亡时,暴击时,闪避时,造成伤害时,受到伤害时,造成治疗时,受到治疗时,每秒,每3秒,每5秒",1)</t>
    <phoneticPr fontId="1" type="noConversion"/>
  </si>
  <si>
    <t xml:space="preserve">   INT列(c27,参数1,-9999999,9999999,0)</t>
    <phoneticPr fontId="1" type="noConversion"/>
  </si>
  <si>
    <t xml:space="preserve">   INT列(c28,参数2,-9999999,9999999,0)</t>
    <phoneticPr fontId="1" type="noConversion"/>
  </si>
  <si>
    <t xml:space="preserve">   INT列(c29,参数3,-9999999,9999999,0)</t>
    <phoneticPr fontId="1" type="noConversion"/>
  </si>
  <si>
    <t xml:space="preserve">   INT列(c31,参数5,-9999999,9999999,0)</t>
    <phoneticPr fontId="1" type="noConversion"/>
  </si>
  <si>
    <t xml:space="preserve">   INT列(c32,参数6,-9999999,9999999,0)</t>
    <phoneticPr fontId="1" type="noConversion"/>
  </si>
  <si>
    <t xml:space="preserve">   索引列(c33,BUFF类型,"BuffLogic",-1)</t>
    <phoneticPr fontId="1" type="noConversion"/>
  </si>
  <si>
    <t xml:space="preserve">   复选列(c34,BUFF触发点,"获得时,消失时,将要死亡时,死亡时,造成死亡时,暴击时,闪避时,造成伤害时,受到伤害时,造成治疗时,受到治疗时,每秒,每3秒,每5秒",1)</t>
    <phoneticPr fontId="1" type="noConversion"/>
  </si>
  <si>
    <t xml:space="preserve">   INT列(c35,参数1,-9999999,9999999,0)</t>
    <phoneticPr fontId="1" type="noConversion"/>
  </si>
  <si>
    <t xml:space="preserve">   INT列(c36,参数2,-9999999,9999999,0)</t>
    <phoneticPr fontId="1" type="noConversion"/>
  </si>
  <si>
    <t xml:space="preserve">   INT列(c37,参数3,-9999999,9999999,0)</t>
    <phoneticPr fontId="1" type="noConversion"/>
  </si>
  <si>
    <t xml:space="preserve">   INT列(c38,参数4,-9999999,9999999,0)</t>
    <phoneticPr fontId="1" type="noConversion"/>
  </si>
  <si>
    <t xml:space="preserve">   INT列(c39,参数5,-9999999,9999999,0)</t>
    <phoneticPr fontId="1" type="noConversion"/>
  </si>
  <si>
    <t xml:space="preserve">   INT列(c40,参数6,-9999999,9999999,0)</t>
    <phoneticPr fontId="1" type="noConversion"/>
  </si>
  <si>
    <t>表起始(BuffLogic,逻辑类型表,角色技能相关)</t>
    <phoneticPr fontId="1" type="noConversion"/>
  </si>
  <si>
    <t xml:space="preserve">   INT列(c1,buff类型id,0,99999999,1)</t>
    <phoneticPr fontId="1" type="noConversion"/>
  </si>
  <si>
    <t xml:space="preserve">   STRING列(c2,逻辑名称,16,"")</t>
    <phoneticPr fontId="1" type="noConversion"/>
  </si>
  <si>
    <t xml:space="preserve">   STRING列(c3,参数1描述,32,"")</t>
    <phoneticPr fontId="1" type="noConversion"/>
  </si>
  <si>
    <t xml:space="preserve">   STRING列(c4,参数2描述,32,"")</t>
    <phoneticPr fontId="1" type="noConversion"/>
  </si>
  <si>
    <t xml:space="preserve">   STRING列(c5,参数3描述,32,"")</t>
    <phoneticPr fontId="1" type="noConversion"/>
  </si>
  <si>
    <t xml:space="preserve">   STRING列(c6,参数4描述,32,"")</t>
    <phoneticPr fontId="1" type="noConversion"/>
  </si>
  <si>
    <t xml:space="preserve">   STRING列(c7,参数5描述,32,"")</t>
    <phoneticPr fontId="1" type="noConversion"/>
  </si>
  <si>
    <t xml:space="preserve">   STRING列(c8,参数6描述,32,"")</t>
    <phoneticPr fontId="1" type="noConversion"/>
  </si>
  <si>
    <t xml:space="preserve">   INT列(c1,技能类型ID,0,99999999,1)</t>
    <phoneticPr fontId="1" type="noConversion"/>
  </si>
  <si>
    <t xml:space="preserve">   STRING列(c2,技能类型说明,16,"")</t>
    <phoneticPr fontId="1" type="noConversion"/>
  </si>
  <si>
    <t>表起始(AttrRef,角色属性转换表,角色属性相关)</t>
    <phoneticPr fontId="1" type="noConversion"/>
  </si>
  <si>
    <t xml:space="preserve">   INT列(c1,GUID,0,99999999,1)</t>
    <phoneticPr fontId="1" type="noConversion"/>
  </si>
  <si>
    <t xml:space="preserve">   INT列(c0,职业ID,0,99999999,0)</t>
    <phoneticPr fontId="1" type="noConversion"/>
  </si>
  <si>
    <t xml:space="preserve">   INT列(c23,属性ID,0,99999999,1)</t>
    <phoneticPr fontId="1" type="noConversion"/>
  </si>
  <si>
    <t xml:space="preserve">   INT列(c4,敏捷,0,99999999,0)</t>
    <phoneticPr fontId="1" type="noConversion"/>
  </si>
  <si>
    <t xml:space="preserve">   INT列(c5,智力,0,99999999,0)</t>
    <phoneticPr fontId="1" type="noConversion"/>
  </si>
  <si>
    <t xml:space="preserve">   INT列(c6,耐力,0,99999999,0)</t>
    <phoneticPr fontId="1" type="noConversion"/>
  </si>
  <si>
    <t xml:space="preserve">   INT列(c7,攻击,0,99999999,0)</t>
    <phoneticPr fontId="1" type="noConversion"/>
  </si>
  <si>
    <t xml:space="preserve">   INT列(c8,生命值,0,99999999,0)</t>
    <phoneticPr fontId="1" type="noConversion"/>
  </si>
  <si>
    <t xml:space="preserve">   INT列(c10,物理护甲,0,99999999,0)</t>
    <phoneticPr fontId="1" type="noConversion"/>
  </si>
  <si>
    <t xml:space="preserve">   INT列(c11,法术抗性,0,99999999,0)</t>
    <phoneticPr fontId="1" type="noConversion"/>
  </si>
  <si>
    <t xml:space="preserve">   INT列(c12,暴击伤害,0,99999999,0)</t>
    <phoneticPr fontId="1" type="noConversion"/>
  </si>
  <si>
    <t xml:space="preserve">   INT列(c13,移动速度,0,99999999,0)</t>
    <phoneticPr fontId="1" type="noConversion"/>
  </si>
  <si>
    <t xml:space="preserve">   INT列(c14,命中等级,0,99999999,0)</t>
    <phoneticPr fontId="1" type="noConversion"/>
  </si>
  <si>
    <t xml:space="preserve">   INT列(c15,闪避等级,0,99999999,0)</t>
    <phoneticPr fontId="1" type="noConversion"/>
  </si>
  <si>
    <t xml:space="preserve">   INT列(c17,韧性等级,0,99999999,0)</t>
    <phoneticPr fontId="1" type="noConversion"/>
  </si>
  <si>
    <t xml:space="preserve">   INT列(c18,命中率,0,99999999,0)</t>
    <phoneticPr fontId="1" type="noConversion"/>
  </si>
  <si>
    <t xml:space="preserve">   INT列(c20,暴击率,0,99999999,0)</t>
    <phoneticPr fontId="1" type="noConversion"/>
  </si>
  <si>
    <t xml:space="preserve">   INT列(c21,韧性率,0,99999999,0)</t>
    <phoneticPr fontId="1" type="noConversion"/>
  </si>
  <si>
    <t xml:space="preserve">   INT列(c22,怒气,0,99999999,0)</t>
    <phoneticPr fontId="1" type="noConversion"/>
  </si>
  <si>
    <t>表起始(PositionIn,位标示表,角色属性相关)</t>
    <phoneticPr fontId="1" type="noConversion"/>
  </si>
  <si>
    <t xml:space="preserve">   INT列(c1,位标示id,0,99999999,0)</t>
    <phoneticPr fontId="1" type="noConversion"/>
  </si>
  <si>
    <t xml:space="preserve">   STRING列(c2,名称,16,"")</t>
    <phoneticPr fontId="1" type="noConversion"/>
  </si>
  <si>
    <t xml:space="preserve">   INT列(c4,刷新类型,0,99999999,0)</t>
    <phoneticPr fontId="1" type="noConversion"/>
  </si>
  <si>
    <t xml:space="preserve">   INT列(c5,刷新参数1,0,99999999,0)</t>
    <phoneticPr fontId="1" type="noConversion"/>
  </si>
  <si>
    <t>表起始(Scene,场景表,场景相关)</t>
    <phoneticPr fontId="1" type="noConversion"/>
  </si>
  <si>
    <t xml:space="preserve">   INT列(c1,场景ID,0,99999999,1)</t>
    <phoneticPr fontId="1" type="noConversion"/>
  </si>
  <si>
    <t xml:space="preserve">   STRING列(c2,场景名称,16,"")</t>
    <phoneticPr fontId="1" type="noConversion"/>
  </si>
  <si>
    <t xml:space="preserve">   STRING列(c3,场景说明,16,"")</t>
    <phoneticPr fontId="1" type="noConversion"/>
  </si>
  <si>
    <t xml:space="preserve">   STRING列(c4,资源文件,16,"")</t>
    <phoneticPr fontId="1" type="noConversion"/>
  </si>
  <si>
    <t xml:space="preserve">   INT列(c5,场景类型,0,99999999,0)</t>
    <phoneticPr fontId="1" type="noConversion"/>
  </si>
  <si>
    <t xml:space="preserve">   STRING列(c6,阻挡文件,16,"")</t>
    <phoneticPr fontId="1" type="noConversion"/>
  </si>
  <si>
    <t xml:space="preserve">   STRING列(c7,小地图资源,16,"")</t>
    <phoneticPr fontId="1" type="noConversion"/>
  </si>
  <si>
    <t xml:space="preserve">   INT列(c8,背景音乐,0,99999999,0)</t>
    <phoneticPr fontId="1" type="noConversion"/>
  </si>
  <si>
    <t xml:space="preserve">   INT列(c9,原地复活,0,99999999,0)</t>
    <phoneticPr fontId="1" type="noConversion"/>
  </si>
  <si>
    <t xml:space="preserve">   INT列(c10,主城复活,0,99999999,0)</t>
    <phoneticPr fontId="1" type="noConversion"/>
  </si>
  <si>
    <t xml:space="preserve">   INT列(c11,主城ID,0,99999999,0)</t>
    <phoneticPr fontId="1" type="noConversion"/>
  </si>
  <si>
    <t xml:space="preserve">   INT列(c12,入口复活,0,99999999,0)</t>
    <phoneticPr fontId="1" type="noConversion"/>
  </si>
  <si>
    <t xml:space="preserve">   FLOAT列(c13,入口坐标X,0,99999999,0)</t>
    <phoneticPr fontId="1" type="noConversion"/>
  </si>
  <si>
    <t xml:space="preserve">   FLOAT列(c14,入口坐标Z,0,99999999,0)</t>
    <phoneticPr fontId="1" type="noConversion"/>
  </si>
  <si>
    <t xml:space="preserve">   FLOAT列(c15,安全坐标X,0,99999999,0)</t>
    <phoneticPr fontId="1" type="noConversion"/>
  </si>
  <si>
    <t xml:space="preserve">   FLOAT列(c16,安全坐标Z,0,99999999,0)</t>
    <phoneticPr fontId="1" type="noConversion"/>
  </si>
  <si>
    <t xml:space="preserve">   INT列(c17,PVP规则,0,99999999,0)</t>
    <phoneticPr fontId="1" type="noConversion"/>
  </si>
  <si>
    <t xml:space="preserve">   INT列(c18,换线,0,99999999,0)</t>
    <phoneticPr fontId="1" type="noConversion"/>
  </si>
  <si>
    <t xml:space="preserve">   INT列(c19,场景内玩家数量上限A,0,99999999,0)</t>
    <phoneticPr fontId="1" type="noConversion"/>
  </si>
  <si>
    <t xml:space="preserve">   INT列(c20,场景内玩家数量上限B,0,99999999,0)</t>
    <phoneticPr fontId="1" type="noConversion"/>
  </si>
  <si>
    <t>表起始(Gem,宝石表,道具相关)</t>
    <phoneticPr fontId="1" type="noConversion"/>
  </si>
  <si>
    <t xml:space="preserve">   INT列(c1,宝石ID,0,99999999,1)</t>
    <phoneticPr fontId="1" type="noConversion"/>
  </si>
  <si>
    <t xml:space="preserve">   STRING列(c2,宝石描述,16,"")</t>
    <phoneticPr fontId="1" type="noConversion"/>
  </si>
  <si>
    <t xml:space="preserve">   INT列(c3,宝石类型,0,99999999,0)</t>
    <phoneticPr fontId="1" type="noConversion"/>
  </si>
  <si>
    <t xml:space="preserve">   INT列(c0,宝石等级,0,99999999,0)</t>
    <phoneticPr fontId="1" type="noConversion"/>
  </si>
  <si>
    <t xml:space="preserve">   INT列(c4,宝石属性,-1,99999999,-1)</t>
    <phoneticPr fontId="1" type="noConversion"/>
  </si>
  <si>
    <t xml:space="preserve">   INT列(c5,宝石数值,0,99999999,0)</t>
    <phoneticPr fontId="1" type="noConversion"/>
  </si>
  <si>
    <t xml:space="preserve">   INT列(c6,宝石属性,-1,99999999,-1)</t>
    <phoneticPr fontId="1" type="noConversion"/>
  </si>
  <si>
    <t xml:space="preserve">   INT列(c7,宝石数值,0,99999999,0)</t>
    <phoneticPr fontId="1" type="noConversion"/>
  </si>
  <si>
    <t xml:space="preserve">   INT列(c8,宝石属性,-1,99999999,-1)</t>
    <phoneticPr fontId="1" type="noConversion"/>
  </si>
  <si>
    <t xml:space="preserve">   INT列(c9,宝石数值,0,99999999,0)</t>
    <phoneticPr fontId="1" type="noConversion"/>
  </si>
  <si>
    <t xml:space="preserve">   INT列(c10,宝石属性,-1,99999999,-1)</t>
    <phoneticPr fontId="1" type="noConversion"/>
  </si>
  <si>
    <t>表起始(EquipEnhance,装备强化附魔表,道具相关)</t>
    <phoneticPr fontId="1" type="noConversion"/>
  </si>
  <si>
    <t xml:space="preserve">   INT列(c1,属性ID,0,99999999,1)</t>
    <phoneticPr fontId="1" type="noConversion"/>
  </si>
  <si>
    <t xml:space="preserve">   STRING列(c0,属性描述,16,"")</t>
    <phoneticPr fontId="1" type="noConversion"/>
  </si>
  <si>
    <t xml:space="preserve">   INT列(c2,强化基础价值,0,99999999,0)</t>
    <phoneticPr fontId="1" type="noConversion"/>
  </si>
  <si>
    <t xml:space="preserve">   INT列(c3,附魔万分比,0,99999999,0)</t>
    <phoneticPr fontId="1" type="noConversion"/>
  </si>
  <si>
    <t>表起始(LevelData,角色属性参数表,角色属性相关)</t>
    <phoneticPr fontId="1" type="noConversion"/>
  </si>
  <si>
    <t xml:space="preserve">   INT列(c1,等级,0,99999999,1)</t>
    <phoneticPr fontId="1" type="noConversion"/>
  </si>
  <si>
    <t xml:space="preserve">   INT列(c2,升级所需经验,0,99999999,0)</t>
    <phoneticPr fontId="1" type="noConversion"/>
  </si>
  <si>
    <t xml:space="preserve">   INT列(c3,当级经验上限,0,99999999,0)</t>
    <phoneticPr fontId="1" type="noConversion"/>
  </si>
  <si>
    <t xml:space="preserve">   FLOAT列(c6,暴击系数,0,99999999,0)</t>
    <phoneticPr fontId="1" type="noConversion"/>
  </si>
  <si>
    <t xml:space="preserve">   FLOAT列(c7,韧性系数,0,99999999,0)</t>
    <phoneticPr fontId="1" type="noConversion"/>
  </si>
  <si>
    <t xml:space="preserve">   FLOAT列(c9,命中系数,0,99999999,0)</t>
    <phoneticPr fontId="1" type="noConversion"/>
  </si>
  <si>
    <t xml:space="preserve">   INT列(c10,攻击强化,0,99999999,0)</t>
    <phoneticPr fontId="1" type="noConversion"/>
  </si>
  <si>
    <t xml:space="preserve">   INT列(c11,生命强化,0,99999999,0)</t>
    <phoneticPr fontId="1" type="noConversion"/>
  </si>
  <si>
    <t xml:space="preserve">   INT列(c12,护甲强化,0,99999999,0)</t>
    <phoneticPr fontId="1" type="noConversion"/>
  </si>
  <si>
    <t xml:space="preserve">   INT列(c15,护甲固定,0,99999999,0)</t>
    <phoneticPr fontId="1" type="noConversion"/>
  </si>
  <si>
    <t xml:space="preserve">   INT列(c16,附魔经验,0,99999999,0)</t>
    <phoneticPr fontId="1" type="noConversion"/>
  </si>
  <si>
    <t>表起始(SkillRange,技能范围表,技能相关)</t>
    <phoneticPr fontId="1" type="noConversion"/>
  </si>
  <si>
    <t xml:space="preserve">   INT列(c1,技能范围ID,0,99999999,1)</t>
    <phoneticPr fontId="1" type="noConversion"/>
  </si>
  <si>
    <t xml:space="preserve">   STRING列(c2,技能范围说明,16,"")</t>
    <phoneticPr fontId="1" type="noConversion"/>
  </si>
  <si>
    <t xml:space="preserve">   STRING列(c3,参数1说明,16,"")</t>
    <phoneticPr fontId="1" type="noConversion"/>
  </si>
  <si>
    <t xml:space="preserve">   STRING列(c4,参数2说明,16,"")</t>
    <phoneticPr fontId="1" type="noConversion"/>
  </si>
  <si>
    <t xml:space="preserve">   INT列(c1,随机属性ID,0,99999999,1)</t>
    <phoneticPr fontId="1" type="noConversion"/>
  </si>
  <si>
    <t xml:space="preserve">   INT列(c2,力量,0,99999999,0)</t>
    <phoneticPr fontId="1" type="noConversion"/>
  </si>
  <si>
    <t xml:space="preserve">   INT列(c3,敏捷,0,99999999,0)</t>
    <phoneticPr fontId="1" type="noConversion"/>
  </si>
  <si>
    <t xml:space="preserve">   INT列(c4,智力,0,99999999,0)</t>
    <phoneticPr fontId="1" type="noConversion"/>
  </si>
  <si>
    <t xml:space="preserve">   INT列(c5,耐力,0,99999999,0)</t>
    <phoneticPr fontId="1" type="noConversion"/>
  </si>
  <si>
    <t xml:space="preserve">   INT列(c6,攻击,0,99999999,0)</t>
    <phoneticPr fontId="1" type="noConversion"/>
  </si>
  <si>
    <t xml:space="preserve">   INT列(c7,生命值,0,99999999,0)</t>
    <phoneticPr fontId="1" type="noConversion"/>
  </si>
  <si>
    <t xml:space="preserve">   INT列(c8,法力值,0,99999999,0)</t>
    <phoneticPr fontId="1" type="noConversion"/>
  </si>
  <si>
    <t xml:space="preserve">   INT列(c9,物理护甲,0,99999999,0)</t>
    <phoneticPr fontId="1" type="noConversion"/>
  </si>
  <si>
    <t xml:space="preserve">   INT列(c10,法术抗性,0,99999999,0)</t>
    <phoneticPr fontId="1" type="noConversion"/>
  </si>
  <si>
    <t xml:space="preserve">   INT列(c11,暴击伤害,0,99999999,0)</t>
    <phoneticPr fontId="1" type="noConversion"/>
  </si>
  <si>
    <t xml:space="preserve">   INT列(c12,移动速度,0,99999999,0)</t>
    <phoneticPr fontId="1" type="noConversion"/>
  </si>
  <si>
    <t xml:space="preserve">   INT列(c13,命中等级,0,99999999,0)</t>
    <phoneticPr fontId="1" type="noConversion"/>
  </si>
  <si>
    <t xml:space="preserve">   INT列(c14,闪避等级,0,99999999,0)</t>
    <phoneticPr fontId="1" type="noConversion"/>
  </si>
  <si>
    <t xml:space="preserve">   INT列(c15,暴击等级,0,99999999,0)</t>
    <phoneticPr fontId="1" type="noConversion"/>
  </si>
  <si>
    <t xml:space="preserve">   INT列(c16,韧性等级,0,99999999,0)</t>
    <phoneticPr fontId="1" type="noConversion"/>
  </si>
  <si>
    <t xml:space="preserve">   INT列(c17,命中率,0,99999999,0)</t>
    <phoneticPr fontId="1" type="noConversion"/>
  </si>
  <si>
    <t xml:space="preserve">   INT列(c18,闪避率,0,99999999,0)</t>
    <phoneticPr fontId="1" type="noConversion"/>
  </si>
  <si>
    <t xml:space="preserve">   INT列(c19,暴击率,0,99999999,0)</t>
    <phoneticPr fontId="1" type="noConversion"/>
  </si>
  <si>
    <t xml:space="preserve">   INT列(c20,韧性率,0,99999999,0)</t>
    <phoneticPr fontId="1" type="noConversion"/>
  </si>
  <si>
    <t xml:space="preserve">   INT列(c21,怒气,0,99999999,0)</t>
    <phoneticPr fontId="1" type="noConversion"/>
  </si>
  <si>
    <t>表起始(Stats,角色属性一览,角色属性相关)</t>
    <phoneticPr fontId="1" type="noConversion"/>
  </si>
  <si>
    <t xml:space="preserve">   STRING列(c2,属性名称,16,"")</t>
    <phoneticPr fontId="1" type="noConversion"/>
  </si>
  <si>
    <t>表起始(Actor,创建角色表,角色属性相关)</t>
    <phoneticPr fontId="1" type="noConversion"/>
  </si>
  <si>
    <t xml:space="preserve">   索引列(c1,索引ID,"Character",-1)</t>
    <phoneticPr fontId="1" type="noConversion"/>
  </si>
  <si>
    <t xml:space="preserve">   STRING列(c3,角色描述,32,"")</t>
    <phoneticPr fontId="1" type="noConversion"/>
  </si>
  <si>
    <t xml:space="preserve">   单选列(c4,职业,"战士,祭司,刺客,游侠",0)</t>
    <phoneticPr fontId="1" type="noConversion"/>
  </si>
  <si>
    <t xml:space="preserve">   单选列(c5,性别,"男,女",-1)</t>
    <phoneticPr fontId="1" type="noConversion"/>
  </si>
  <si>
    <t>表起始(CharacterBase,基础角色表,角色属性相关)</t>
    <phoneticPr fontId="1" type="noConversion"/>
  </si>
  <si>
    <t xml:space="preserve">   索引列(c30,charmodel索引ID,"Charmodel",-1)</t>
    <phoneticPr fontId="1" type="noConversion"/>
  </si>
  <si>
    <t xml:space="preserve">   单选列(c4,角色类型,"角色,NPC,怪物",1)</t>
    <phoneticPr fontId="1" type="noConversion"/>
  </si>
  <si>
    <t xml:space="preserve">   索引列(c5,扩展ID,"Actor,NpcBase",-1)</t>
    <phoneticPr fontId="1" type="noConversion"/>
  </si>
  <si>
    <t xml:space="preserve">   INT列(c8,等级,0,99999999,1)</t>
    <phoneticPr fontId="1" type="noConversion"/>
  </si>
  <si>
    <t xml:space="preserve">   INT列(c11,智力,0,99999999,1)</t>
    <phoneticPr fontId="1" type="noConversion"/>
  </si>
  <si>
    <t xml:space="preserve">   INT列(c14,生命值,0,99999999,1)</t>
    <phoneticPr fontId="1" type="noConversion"/>
  </si>
  <si>
    <t xml:space="preserve">   INT列(c15,法力值,0,99999999,1)</t>
    <phoneticPr fontId="1" type="noConversion"/>
  </si>
  <si>
    <t>表起始(CharModel,CharModel表,角色属性相关)</t>
    <phoneticPr fontId="1" type="noConversion"/>
  </si>
  <si>
    <t xml:space="preserve">   STRING列(c2,角色名称,16,"")</t>
    <phoneticPr fontId="1" type="noConversion"/>
  </si>
  <si>
    <t xml:space="preserve">   STRING列(c3,称号,16,"")</t>
    <phoneticPr fontId="1" type="noConversion"/>
  </si>
  <si>
    <t xml:space="preserve">   STRING列(c4,资源路径,16,"")</t>
    <phoneticPr fontId="1" type="noConversion"/>
  </si>
  <si>
    <t xml:space="preserve">   STRING列(c5,动作路径,16,"")</t>
    <phoneticPr fontId="1" type="noConversion"/>
  </si>
  <si>
    <t xml:space="preserve">   STRING列(c6,头像,16,"")</t>
    <phoneticPr fontId="1" type="noConversion"/>
  </si>
  <si>
    <t xml:space="preserve">   STRING列(c7,对话半身像,16,"")</t>
    <phoneticPr fontId="1" type="noConversion"/>
  </si>
  <si>
    <t xml:space="preserve">   FLOAT列(c8,头顶信息板高度修正,0,99999999,0)</t>
    <phoneticPr fontId="1" type="noConversion"/>
  </si>
  <si>
    <t xml:space="preserve">   FLOAT列(c9,缩放比例,0,99999999,0)</t>
    <phoneticPr fontId="1" type="noConversion"/>
  </si>
  <si>
    <t xml:space="preserve">   索引列(c10,死亡音效,"Sound",-1)</t>
    <phoneticPr fontId="1" type="noConversion"/>
  </si>
  <si>
    <t>表起始(NpcBase,NPC表,NPC相关)</t>
    <phoneticPr fontId="1" type="noConversion"/>
  </si>
  <si>
    <t xml:space="preserve">   FLOAT列(c16,NPC对话半径,-1,99999999,-1)</t>
    <phoneticPr fontId="1" type="noConversion"/>
  </si>
  <si>
    <t xml:space="preserve">   STRING列(c9,动作文件,16,动作文件路径)</t>
    <phoneticPr fontId="1" type="noConversion"/>
  </si>
  <si>
    <t xml:space="preserve">   STRING列(c2,BUFF名称,16,未命名buff)</t>
    <phoneticPr fontId="1" type="noConversion"/>
  </si>
  <si>
    <t xml:space="preserve">   INT列(c7,BUFF承受上限,-1,99999999,-1)</t>
    <phoneticPr fontId="1" type="noConversion"/>
  </si>
  <si>
    <t xml:space="preserve">   INT列(c30,参数4,-9999999,9999999,0)</t>
    <phoneticPr fontId="1" type="noConversion"/>
  </si>
  <si>
    <t>表起始(SkillType,技能类型表,角色技能相关)</t>
    <phoneticPr fontId="1" type="noConversion"/>
  </si>
  <si>
    <t xml:space="preserve">   STRING列(c2,属性描述,16,"")</t>
    <phoneticPr fontId="1" type="noConversion"/>
  </si>
  <si>
    <t xml:space="preserve">   INT列(c3,力量,0,99999999,0)</t>
    <phoneticPr fontId="1" type="noConversion"/>
  </si>
  <si>
    <t xml:space="preserve">   INT列(c9,法力值,0,99999999,0)</t>
    <phoneticPr fontId="1" type="noConversion"/>
  </si>
  <si>
    <t xml:space="preserve">   INT列(c16,暴击等级,0,99999999,0)</t>
    <phoneticPr fontId="1" type="noConversion"/>
  </si>
  <si>
    <t xml:space="preserve">   INT列(c19,闪避率,0,99999999,0)</t>
    <phoneticPr fontId="1" type="noConversion"/>
  </si>
  <si>
    <t xml:space="preserve">   INT列(c3,是否告知客户端,0,99999999,0)</t>
    <phoneticPr fontId="1" type="noConversion"/>
  </si>
  <si>
    <t xml:space="preserve">   INT列(c6,刷新参数2,0,99999999,0)</t>
    <phoneticPr fontId="1" type="noConversion"/>
  </si>
  <si>
    <t xml:space="preserve">   INT列(c11,宝石数值,0,99999999,0)</t>
    <phoneticPr fontId="1" type="noConversion"/>
  </si>
  <si>
    <t xml:space="preserve">   FLOAT列(c4,护甲免伤系数,0,99999999,0)</t>
    <phoneticPr fontId="1" type="noConversion"/>
  </si>
  <si>
    <t xml:space="preserve">   FLOAT列(c5,抗性免伤系数,0,99999999,0)</t>
    <phoneticPr fontId="1" type="noConversion"/>
  </si>
  <si>
    <t xml:space="preserve">   FLOAT列(c8,闪避系数,0,99999999,0)</t>
    <phoneticPr fontId="1" type="noConversion"/>
  </si>
  <si>
    <t xml:space="preserve">   INT列(c13,攻击固定,0,99999999,0)</t>
    <phoneticPr fontId="1" type="noConversion"/>
  </si>
  <si>
    <t xml:space="preserve">   INT列(c14,生命固定,0,99999999,0)</t>
    <phoneticPr fontId="1" type="noConversion"/>
  </si>
  <si>
    <t>表起始(EquipEnchant,装备附魔属性表,道具相关)</t>
    <phoneticPr fontId="1" type="noConversion"/>
  </si>
  <si>
    <t xml:space="preserve">   索引列(c29,出生攻击技能ID1,"Skill",-1)</t>
    <phoneticPr fontId="1" type="noConversion"/>
  </si>
  <si>
    <t xml:space="preserve">   索引列(c30,出生攻击技能ID2,"Skill",0)</t>
    <phoneticPr fontId="1" type="noConversion"/>
  </si>
  <si>
    <t xml:space="preserve">   索引列(c31,出生攻击技能ID3,"Skill",1)</t>
    <phoneticPr fontId="1" type="noConversion"/>
  </si>
  <si>
    <t xml:space="preserve">   索引列(c32,出生攻击技能ID4,"Skill",2)</t>
    <phoneticPr fontId="1" type="noConversion"/>
  </si>
  <si>
    <t xml:space="preserve">   索引列(c33,出生攻击技能ID5,"Skill",3)</t>
    <phoneticPr fontId="1" type="noConversion"/>
  </si>
  <si>
    <t xml:space="preserve">   索引列(c34,出生攻击技能ID6,"Skill",4)</t>
    <phoneticPr fontId="1" type="noConversion"/>
  </si>
  <si>
    <t xml:space="preserve">   索引列(c35,出生攻击技能ID7,"Skill",5)</t>
    <phoneticPr fontId="1" type="noConversion"/>
  </si>
  <si>
    <t xml:space="preserve">   索引列(c36,出生攻击技能ID8,"Skill",6)</t>
    <phoneticPr fontId="1" type="noConversion"/>
  </si>
  <si>
    <t xml:space="preserve">   索引列(c37,出生攻击技能ID9,"Skill",7)</t>
    <phoneticPr fontId="1" type="noConversion"/>
  </si>
  <si>
    <t xml:space="preserve">   索引列(c38,出生攻击技能ID10,"Skill",8)</t>
    <phoneticPr fontId="1" type="noConversion"/>
  </si>
  <si>
    <t xml:space="preserve">   索引列(c39,出生攻击技能ID11,"Skill",9)</t>
    <phoneticPr fontId="1" type="noConversion"/>
  </si>
  <si>
    <t xml:space="preserve">   索引列(c40,出生攻击技能ID12,"Skill",10)</t>
    <phoneticPr fontId="1" type="noConversion"/>
  </si>
  <si>
    <t xml:space="preserve">   索引列(c41,出生攻击技能ID13,"Skill",11)</t>
    <phoneticPr fontId="1" type="noConversion"/>
  </si>
  <si>
    <t xml:space="preserve">   索引列(c42,出生攻击技能ID14,"Skill",12)</t>
    <phoneticPr fontId="1" type="noConversion"/>
  </si>
  <si>
    <t xml:space="preserve">   索引列(c43,出生攻击技能ID15,"Skill",13)</t>
  </si>
  <si>
    <t xml:space="preserve">   索引列(c44,出生攻击技能ID16,"Skill",14)</t>
  </si>
  <si>
    <t xml:space="preserve">   索引列(c45,出生攻击技能ID17,"Skill",15)</t>
  </si>
  <si>
    <t xml:space="preserve">   索引列(c46,出生攻击技能ID18,"Skill",16)</t>
  </si>
  <si>
    <t xml:space="preserve">   索引列(c47,出生攻击技能ID19,"Skill",17)</t>
  </si>
  <si>
    <t xml:space="preserve">   索引列(c48,出生攻击技能ID20,"Skill",18)</t>
  </si>
  <si>
    <t>EquipTie</t>
    <phoneticPr fontId="1" type="noConversion"/>
  </si>
  <si>
    <t>装备套装表</t>
    <phoneticPr fontId="1" type="noConversion"/>
  </si>
  <si>
    <t>道具相关</t>
    <phoneticPr fontId="1" type="noConversion"/>
  </si>
  <si>
    <t>套装ID</t>
    <phoneticPr fontId="1" type="noConversion"/>
  </si>
  <si>
    <t>套装名</t>
    <phoneticPr fontId="1" type="noConversion"/>
  </si>
  <si>
    <t>套装总件数</t>
    <phoneticPr fontId="1" type="noConversion"/>
  </si>
  <si>
    <t>效果1件数</t>
    <phoneticPr fontId="1" type="noConversion"/>
  </si>
  <si>
    <t>效果1属性I</t>
    <phoneticPr fontId="1" type="noConversion"/>
  </si>
  <si>
    <t>效果1属性I数值</t>
    <phoneticPr fontId="1" type="noConversion"/>
  </si>
  <si>
    <t>效果1属性II</t>
    <phoneticPr fontId="1" type="noConversion"/>
  </si>
  <si>
    <t>效果1属性II数值</t>
    <phoneticPr fontId="1" type="noConversion"/>
  </si>
  <si>
    <t>效果1BUFFID</t>
    <phoneticPr fontId="1" type="noConversion"/>
  </si>
  <si>
    <t>效果2件数</t>
  </si>
  <si>
    <t>效果2属性I</t>
  </si>
  <si>
    <t>效果2属性I数值</t>
  </si>
  <si>
    <t>效果2属性II</t>
  </si>
  <si>
    <t>效果2属性II数值</t>
  </si>
  <si>
    <t>效果2BUFFID</t>
  </si>
  <si>
    <t>效果3件数</t>
  </si>
  <si>
    <t>效果3属性I</t>
  </si>
  <si>
    <t>效果3属性I数值</t>
  </si>
  <si>
    <t>效果3属性II</t>
  </si>
  <si>
    <t>效果3属性II数值</t>
  </si>
  <si>
    <t>效果3BUFFID</t>
  </si>
  <si>
    <t>效果4件数</t>
  </si>
  <si>
    <t>效果4属性I</t>
  </si>
  <si>
    <t>效果4属性I数值</t>
  </si>
  <si>
    <t>效果4属性II</t>
  </si>
  <si>
    <t>效果4属性II数值</t>
  </si>
  <si>
    <t>效果4BUFFID</t>
  </si>
  <si>
    <t>STRING</t>
    <phoneticPr fontId="1" type="noConversion"/>
  </si>
  <si>
    <t>c1</t>
    <phoneticPr fontId="1" type="noConversion"/>
  </si>
  <si>
    <t>效果1描述</t>
    <phoneticPr fontId="1" type="noConversion"/>
  </si>
  <si>
    <t>效果2描述</t>
    <phoneticPr fontId="1" type="noConversion"/>
  </si>
  <si>
    <t>效果3描述</t>
    <phoneticPr fontId="1" type="noConversion"/>
  </si>
  <si>
    <t>效果4描述</t>
    <phoneticPr fontId="1" type="noConversion"/>
  </si>
  <si>
    <t>套装序列1名称</t>
    <phoneticPr fontId="1" type="noConversion"/>
  </si>
  <si>
    <t>套装序列2名称</t>
  </si>
  <si>
    <t>套装序列3名称</t>
  </si>
  <si>
    <t>套装序列4名称</t>
  </si>
  <si>
    <t>套装序列5名称</t>
  </si>
  <si>
    <t>套装序列6名称</t>
  </si>
  <si>
    <t>套装序列7名称</t>
  </si>
  <si>
    <t>套装序列8名称</t>
  </si>
  <si>
    <t>套装序列9名称</t>
  </si>
  <si>
    <t>套装序列10名称</t>
  </si>
  <si>
    <t>语言表</t>
    <phoneticPr fontId="1" type="noConversion"/>
  </si>
  <si>
    <t>语言ID</t>
    <phoneticPr fontId="1" type="noConversion"/>
  </si>
  <si>
    <t>语言名称</t>
    <phoneticPr fontId="1" type="noConversion"/>
  </si>
  <si>
    <t>版本相关</t>
    <phoneticPr fontId="1" type="noConversion"/>
  </si>
  <si>
    <t>Language</t>
    <phoneticPr fontId="1" type="noConversion"/>
  </si>
  <si>
    <t>平台表</t>
    <phoneticPr fontId="1" type="noConversion"/>
  </si>
  <si>
    <t>Platform</t>
    <phoneticPr fontId="1" type="noConversion"/>
  </si>
  <si>
    <t>渠道名称</t>
    <phoneticPr fontId="1" type="noConversion"/>
  </si>
  <si>
    <t>平台ID</t>
    <phoneticPr fontId="1" type="noConversion"/>
  </si>
  <si>
    <t>平台名称</t>
    <phoneticPr fontId="1" type="noConversion"/>
  </si>
  <si>
    <t>渠道表</t>
    <phoneticPr fontId="1" type="noConversion"/>
  </si>
  <si>
    <t>渠道ID</t>
    <phoneticPr fontId="1" type="noConversion"/>
  </si>
  <si>
    <t>Channel</t>
    <phoneticPr fontId="1" type="noConversion"/>
  </si>
  <si>
    <t>语言</t>
  </si>
  <si>
    <t>平台</t>
  </si>
  <si>
    <t>渠道</t>
  </si>
  <si>
    <t>大版本</t>
  </si>
  <si>
    <t>小版本</t>
  </si>
  <si>
    <t>资源URL</t>
  </si>
  <si>
    <t>公告URL</t>
  </si>
  <si>
    <t>是否有新版本</t>
  </si>
  <si>
    <t>新版本URL</t>
  </si>
  <si>
    <t>配置ID</t>
    <phoneticPr fontId="1" type="noConversion"/>
  </si>
  <si>
    <t>版本表</t>
    <phoneticPr fontId="1" type="noConversion"/>
  </si>
  <si>
    <t>Version</t>
    <phoneticPr fontId="1" type="noConversion"/>
  </si>
  <si>
    <t>&lt;table name="Language" alias="语言表" catalog="版本相关" operate="create" invisible="false" virtual="/Config"&gt;</t>
  </si>
  <si>
    <t xml:space="preserve">  &lt;column name="c1" alias="语言ID" type="integer" not-null="true" readonly="false" range="0,99999999" default="0" /&gt;</t>
  </si>
  <si>
    <t xml:space="preserve">  &lt;column name="c2" alias="语言名称" type="string" not-null="false" readonly="false" length="256" default="" /&gt;</t>
  </si>
  <si>
    <t>&lt;table name="Platform" alias="平台表" catalog="版本相关" operate="create" invisible="false" virtual="/Config"&gt;</t>
  </si>
  <si>
    <t xml:space="preserve">  &lt;column name="c1" alias="平台ID" type="integer" not-null="true" readonly="false" range="0,99999999" default="0" /&gt;</t>
  </si>
  <si>
    <t xml:space="preserve">  &lt;column name="c2" alias="平台名称" type="string" not-null="false" readonly="false" length="256" default="" /&gt;</t>
  </si>
  <si>
    <t>&lt;table name="Channel" alias="渠道表" catalog="版本相关" operate="create" invisible="false" virtual="/Config"&gt;</t>
  </si>
  <si>
    <t xml:space="preserve">  &lt;column name="c1" alias="渠道ID" type="integer" not-null="true" readonly="false" range="0,99999999" default="0" /&gt;</t>
  </si>
  <si>
    <t xml:space="preserve">  &lt;column name="c2" alias="渠道名称" type="string" not-null="false" readonly="false" length="256" default="" /&gt;</t>
  </si>
  <si>
    <t>&lt;table name="Version" alias="版本表" catalog="版本相关" operate="create" invisible="false" virtual="/Config"&gt;</t>
  </si>
  <si>
    <t xml:space="preserve">  &lt;column name="c1" alias="配置ID" type="integer" not-null="true" readonly="false" range="0,99999999" default="1" /&gt;</t>
  </si>
  <si>
    <t xml:space="preserve">  &lt;column name="c2" alias="语言" type="refid" not-null="true" readonly="false" table="Language" default="-1" /&gt;</t>
  </si>
  <si>
    <t xml:space="preserve">  &lt;column name="c3" alias="平台" type="refid" not-null="true" readonly="false" table="Platform" default="-1" /&gt;</t>
  </si>
  <si>
    <t xml:space="preserve">  &lt;column name="c4" alias="渠道" type="refid" not-null="true" readonly="false" table="Channel" default="-1" /&gt;</t>
  </si>
  <si>
    <t xml:space="preserve">  &lt;column name="c6" alias="小版本" type="integer" not-null="true" readonly="false" range="0,99999999" default="0" /&gt;</t>
  </si>
  <si>
    <t xml:space="preserve">  &lt;column name="c7" alias="资源URL" type="string" not-null="false" readonly="false" length="256" default="" /&gt;</t>
  </si>
  <si>
    <t xml:space="preserve">  &lt;column name="c8" alias="公告URL" type="string" not-null="false" readonly="false" length="256" default="" /&gt;</t>
  </si>
  <si>
    <t xml:space="preserve">  &lt;column name="c10" alias="新版本URL" type="string" not-null="false" readonly="false" length="256" default="" /&gt;</t>
  </si>
  <si>
    <t>否,是</t>
    <phoneticPr fontId="1" type="noConversion"/>
  </si>
  <si>
    <t xml:space="preserve">   STRING列(c2,语言名称,256,"")</t>
    <phoneticPr fontId="1" type="noConversion"/>
  </si>
  <si>
    <t>表结束(c1)</t>
    <phoneticPr fontId="1" type="noConversion"/>
  </si>
  <si>
    <t>表起始(Platform,平台表,版本相关)</t>
    <phoneticPr fontId="1" type="noConversion"/>
  </si>
  <si>
    <t xml:space="preserve">   STRING列(c2,平台名称,256,"")</t>
    <phoneticPr fontId="1" type="noConversion"/>
  </si>
  <si>
    <t>表结束(c1)</t>
    <phoneticPr fontId="1" type="noConversion"/>
  </si>
  <si>
    <t>表起始(Channel,渠道表,版本相关)</t>
    <phoneticPr fontId="1" type="noConversion"/>
  </si>
  <si>
    <t xml:space="preserve">   INT列(c1,渠道ID,0,99999999,0)</t>
    <phoneticPr fontId="1" type="noConversion"/>
  </si>
  <si>
    <t xml:space="preserve">   STRING列(c2,渠道名称,256,"")</t>
    <phoneticPr fontId="1" type="noConversion"/>
  </si>
  <si>
    <t>表起始(Version,版本表,版本相关)</t>
    <phoneticPr fontId="1" type="noConversion"/>
  </si>
  <si>
    <t xml:space="preserve">   INT列(c1,配置ID,0,99999999,1)</t>
    <phoneticPr fontId="1" type="noConversion"/>
  </si>
  <si>
    <t xml:space="preserve">   索引列(c2,语言,"Language",-1)</t>
    <phoneticPr fontId="1" type="noConversion"/>
  </si>
  <si>
    <t xml:space="preserve">   索引列(c3,平台,"Platform",-1)</t>
    <phoneticPr fontId="1" type="noConversion"/>
  </si>
  <si>
    <t xml:space="preserve">   索引列(c4,渠道,"Channel",-1)</t>
    <phoneticPr fontId="1" type="noConversion"/>
  </si>
  <si>
    <t xml:space="preserve">   INT列(c6,小版本,0,99999999,0)</t>
    <phoneticPr fontId="1" type="noConversion"/>
  </si>
  <si>
    <t xml:space="preserve">   STRING列(c7,资源URL,256,"")</t>
    <phoneticPr fontId="1" type="noConversion"/>
  </si>
  <si>
    <t xml:space="preserve">   STRING列(c8,公告URL,256,"")</t>
    <phoneticPr fontId="1" type="noConversion"/>
  </si>
  <si>
    <t xml:space="preserve">   单选列(c9,是否有新版本,"否,是",0)</t>
    <phoneticPr fontId="1" type="noConversion"/>
  </si>
  <si>
    <t xml:space="preserve">   STRING列(c10,新版本URL,256,"")</t>
    <phoneticPr fontId="1" type="noConversion"/>
  </si>
  <si>
    <t xml:space="preserve">  &lt;column name="c9" alias="是否有新版本" type="enum" not-null="true" readonly="false" value="否,是" default="0" /&gt;</t>
  </si>
  <si>
    <t>表起始(Language,语言表,版本相关)</t>
    <phoneticPr fontId="1" type="noConversion"/>
  </si>
  <si>
    <t xml:space="preserve">   INT列(c1,语言ID,0,99999999,0)</t>
    <phoneticPr fontId="1" type="noConversion"/>
  </si>
  <si>
    <t xml:space="preserve">   INT列(c1,平台ID,0,99999999,0)</t>
    <phoneticPr fontId="1" type="noConversion"/>
  </si>
  <si>
    <t xml:space="preserve">   STRING列(c5,大版本,256,"")</t>
    <phoneticPr fontId="1" type="noConversion"/>
  </si>
  <si>
    <t xml:space="preserve">  &lt;column name="c5" alias="大版本" type="string" not-null="false" readonly="false" length="256" default="" /&gt;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</si>
</sst>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 "/>
    <numFmt numFmtId="177" formatCode="0_);[Red]\(0\)"/>
  </numFmts>
  <fonts count="21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b/>
      <sz val="18"/>
      <color theme="3"/>
      <name val="宋体"/>
      <family val="2"/>
      <charset val="134"/>
      <scheme val="major"/>
    </font>
    <font>
      <b/>
      <sz val="15"/>
      <color theme="3"/>
      <name val="宋体"/>
      <family val="2"/>
      <charset val="134"/>
      <scheme val="minor"/>
    </font>
    <font>
      <b/>
      <sz val="13"/>
      <color theme="3"/>
      <name val="宋体"/>
      <family val="2"/>
      <charset val="134"/>
      <scheme val="minor"/>
    </font>
    <font>
      <b/>
      <sz val="11"/>
      <color theme="3"/>
      <name val="宋体"/>
      <family val="2"/>
      <charset val="134"/>
      <scheme val="minor"/>
    </font>
    <font>
      <sz val="11"/>
      <color rgb="FF006100"/>
      <name val="宋体"/>
      <family val="2"/>
      <charset val="134"/>
      <scheme val="minor"/>
    </font>
    <font>
      <sz val="11"/>
      <color rgb="FF9C0006"/>
      <name val="宋体"/>
      <family val="2"/>
      <charset val="134"/>
      <scheme val="minor"/>
    </font>
    <font>
      <sz val="11"/>
      <color rgb="FF9C6500"/>
      <name val="宋体"/>
      <family val="2"/>
      <charset val="134"/>
      <scheme val="minor"/>
    </font>
    <font>
      <sz val="11"/>
      <color rgb="FF3F3F76"/>
      <name val="宋体"/>
      <family val="2"/>
      <charset val="134"/>
      <scheme val="minor"/>
    </font>
    <font>
      <b/>
      <sz val="11"/>
      <color rgb="FF3F3F3F"/>
      <name val="宋体"/>
      <family val="2"/>
      <charset val="134"/>
      <scheme val="minor"/>
    </font>
    <font>
      <b/>
      <sz val="11"/>
      <color rgb="FFFA7D00"/>
      <name val="宋体"/>
      <family val="2"/>
      <charset val="134"/>
      <scheme val="minor"/>
    </font>
    <font>
      <sz val="11"/>
      <color rgb="FFFA7D00"/>
      <name val="宋体"/>
      <family val="2"/>
      <charset val="134"/>
      <scheme val="minor"/>
    </font>
    <font>
      <b/>
      <sz val="11"/>
      <color theme="0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i/>
      <sz val="11"/>
      <color rgb="FF7F7F7F"/>
      <name val="宋体"/>
      <family val="2"/>
      <charset val="134"/>
      <scheme val="minor"/>
    </font>
    <font>
      <b/>
      <sz val="11"/>
      <color theme="1"/>
      <name val="宋体"/>
      <family val="2"/>
      <charset val="134"/>
      <scheme val="minor"/>
    </font>
    <font>
      <sz val="11"/>
      <color theme="0"/>
      <name val="宋体"/>
      <family val="2"/>
      <charset val="134"/>
      <scheme val="minor"/>
    </font>
    <font>
      <sz val="10.5"/>
      <color theme="1"/>
      <name val="Calibri"/>
      <family val="2"/>
    </font>
    <font>
      <sz val="9"/>
      <color theme="1"/>
      <name val="宋体"/>
      <family val="2"/>
      <charset val="134"/>
      <scheme val="minor"/>
    </font>
  </fonts>
  <fills count="4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1" applyNumberFormat="0" applyFill="0" applyAlignment="0" applyProtection="0">
      <alignment vertical="center"/>
    </xf>
    <xf numFmtId="0" fontId="5" fillId="0" borderId="2" applyNumberFormat="0" applyFill="0" applyAlignment="0" applyProtection="0">
      <alignment vertical="center"/>
    </xf>
    <xf numFmtId="0" fontId="6" fillId="0" borderId="3" applyNumberFormat="0" applyFill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0" applyNumberFormat="0" applyBorder="0" applyAlignment="0" applyProtection="0">
      <alignment vertical="center"/>
    </xf>
    <xf numFmtId="0" fontId="10" fillId="6" borderId="4" applyNumberFormat="0" applyAlignment="0" applyProtection="0">
      <alignment vertical="center"/>
    </xf>
    <xf numFmtId="0" fontId="11" fillId="7" borderId="5" applyNumberFormat="0" applyAlignment="0" applyProtection="0">
      <alignment vertical="center"/>
    </xf>
    <xf numFmtId="0" fontId="12" fillId="7" borderId="4" applyNumberFormat="0" applyAlignment="0" applyProtection="0">
      <alignment vertical="center"/>
    </xf>
    <xf numFmtId="0" fontId="13" fillId="0" borderId="6" applyNumberFormat="0" applyFill="0" applyAlignment="0" applyProtection="0">
      <alignment vertical="center"/>
    </xf>
    <xf numFmtId="0" fontId="14" fillId="8" borderId="7" applyNumberForma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2" fillId="9" borderId="8" applyNumberFormat="0" applyFont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9" applyNumberFormat="0" applyFill="0" applyAlignment="0" applyProtection="0">
      <alignment vertical="center"/>
    </xf>
    <xf numFmtId="0" fontId="18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8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8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8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8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8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18" fillId="33" borderId="0" applyNumberFormat="0" applyBorder="0" applyAlignment="0" applyProtection="0">
      <alignment vertical="center"/>
    </xf>
  </cellStyleXfs>
  <cellXfs count="45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>
      <alignment vertic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left" vertical="center"/>
    </xf>
    <xf numFmtId="49" fontId="0" fillId="0" borderId="0" xfId="0" applyNumberFormat="1" applyAlignment="1">
      <alignment horizontal="left" vertical="center" wrapText="1"/>
    </xf>
    <xf numFmtId="0" fontId="0" fillId="34" borderId="0" xfId="0" applyFill="1">
      <alignment vertical="center"/>
    </xf>
    <xf numFmtId="0" fontId="0" fillId="35" borderId="0" xfId="0" applyFill="1">
      <alignment vertical="center"/>
    </xf>
    <xf numFmtId="0" fontId="0" fillId="36" borderId="0" xfId="0" applyFill="1">
      <alignment vertical="center"/>
    </xf>
    <xf numFmtId="49" fontId="0" fillId="0" borderId="0" xfId="0" applyNumberFormat="1">
      <alignment vertical="center"/>
    </xf>
    <xf numFmtId="0" fontId="0" fillId="0" borderId="0" xfId="0" applyNumberFormat="1" applyAlignment="1">
      <alignment horizontal="center" vertical="center"/>
    </xf>
    <xf numFmtId="0" fontId="0" fillId="34" borderId="0" xfId="0" applyFill="1" applyAlignment="1">
      <alignment vertical="center" wrapText="1"/>
    </xf>
    <xf numFmtId="49" fontId="0" fillId="2" borderId="0" xfId="0" applyNumberFormat="1" applyFill="1" applyAlignment="1">
      <alignment horizontal="left" vertical="center"/>
    </xf>
    <xf numFmtId="176" fontId="0" fillId="37" borderId="0" xfId="0" applyNumberFormat="1" applyFill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49" fontId="0" fillId="0" borderId="0" xfId="0" applyNumberFormat="1" applyAlignment="1">
      <alignment horizontal="center" vertical="center" wrapText="1"/>
    </xf>
    <xf numFmtId="0" fontId="0" fillId="39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38" borderId="0" xfId="0" applyNumberFormat="1" applyFill="1" applyAlignment="1">
      <alignment horizontal="center" vertical="center"/>
    </xf>
    <xf numFmtId="0" fontId="0" fillId="40" borderId="0" xfId="0" applyNumberFormat="1" applyFill="1" applyAlignment="1">
      <alignment horizontal="center" vertical="center"/>
    </xf>
    <xf numFmtId="49" fontId="0" fillId="38" borderId="0" xfId="0" applyNumberFormat="1" applyFill="1" applyAlignment="1">
      <alignment horizontal="center" vertical="center"/>
    </xf>
    <xf numFmtId="0" fontId="0" fillId="34" borderId="0" xfId="0" applyFill="1" applyAlignment="1">
      <alignment vertical="center"/>
    </xf>
    <xf numFmtId="0" fontId="0" fillId="41" borderId="0" xfId="0" applyFill="1">
      <alignment vertical="center"/>
    </xf>
    <xf numFmtId="0" fontId="0" fillId="39" borderId="0" xfId="0" applyFill="1">
      <alignment vertical="center"/>
    </xf>
    <xf numFmtId="0" fontId="0" fillId="38" borderId="0" xfId="0" applyFill="1">
      <alignment vertical="center"/>
    </xf>
    <xf numFmtId="0" fontId="0" fillId="42" borderId="0" xfId="0" applyFill="1">
      <alignment vertical="center"/>
    </xf>
    <xf numFmtId="0" fontId="0" fillId="43" borderId="0" xfId="0" applyFill="1">
      <alignment vertical="center"/>
    </xf>
    <xf numFmtId="0" fontId="0" fillId="0" borderId="0" xfId="0" applyFill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20" fillId="0" borderId="0" xfId="0" applyFont="1" applyAlignment="1">
      <alignment horizontal="left" vertical="center"/>
    </xf>
  </cellXfs>
  <cellStyles count="42">
    <cellStyle name="20% - 着色 1" xfId="19" builtinId="30" customBuiltin="1"/>
    <cellStyle name="20% - 着色 2" xfId="23" builtinId="34" customBuiltin="1"/>
    <cellStyle name="20% - 着色 3" xfId="27" builtinId="38" customBuiltin="1"/>
    <cellStyle name="20% - 着色 4" xfId="31" builtinId="42" customBuiltin="1"/>
    <cellStyle name="20% - 着色 5" xfId="35" builtinId="46" customBuiltin="1"/>
    <cellStyle name="20% - 着色 6" xfId="39" builtinId="50" customBuiltin="1"/>
    <cellStyle name="40% - 着色 1" xfId="20" builtinId="31" customBuiltin="1"/>
    <cellStyle name="40% - 着色 2" xfId="24" builtinId="35" customBuiltin="1"/>
    <cellStyle name="40% - 着色 3" xfId="28" builtinId="39" customBuiltin="1"/>
    <cellStyle name="40% - 着色 4" xfId="32" builtinId="43" customBuiltin="1"/>
    <cellStyle name="40% - 着色 5" xfId="36" builtinId="47" customBuiltin="1"/>
    <cellStyle name="40% - 着色 6" xfId="40" builtinId="51" customBuiltin="1"/>
    <cellStyle name="60% - 着色 1" xfId="21" builtinId="32" customBuiltin="1"/>
    <cellStyle name="60% - 着色 2" xfId="25" builtinId="36" customBuiltin="1"/>
    <cellStyle name="60% - 着色 3" xfId="29" builtinId="40" customBuiltin="1"/>
    <cellStyle name="60% - 着色 4" xfId="33" builtinId="44" customBuiltin="1"/>
    <cellStyle name="60% - 着色 5" xfId="37" builtinId="48" customBuiltin="1"/>
    <cellStyle name="60% - 着色 6" xfId="41" builtinId="52" customBuiltin="1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适中" xfId="8" builtinId="28" customBuiltin="1"/>
    <cellStyle name="输出" xfId="10" builtinId="21" customBuiltin="1"/>
    <cellStyle name="输入" xfId="9" builtinId="20" customBuiltin="1"/>
    <cellStyle name="着色 1" xfId="18" builtinId="29" customBuiltin="1"/>
    <cellStyle name="着色 2" xfId="22" builtinId="33" customBuiltin="1"/>
    <cellStyle name="着色 3" xfId="26" builtinId="37" customBuiltin="1"/>
    <cellStyle name="着色 4" xfId="30" builtinId="41" customBuiltin="1"/>
    <cellStyle name="着色 5" xfId="34" builtinId="45" customBuiltin="1"/>
    <cellStyle name="着色 6" xfId="38" builtinId="49" customBuiltin="1"/>
    <cellStyle name="注释" xfId="15" builtinId="10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0</xdr:row>
          <xdr:rowOff>38100</xdr:rowOff>
        </xdr:from>
        <xdr:to>
          <xdr:col>6</xdr:col>
          <xdr:colOff>457200</xdr:colOff>
          <xdr:row>3</xdr:row>
          <xdr:rowOff>114300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542925</xdr:colOff>
          <xdr:row>3</xdr:row>
          <xdr:rowOff>104775</xdr:rowOff>
        </xdr:from>
        <xdr:to>
          <xdr:col>10</xdr:col>
          <xdr:colOff>76200</xdr:colOff>
          <xdr:row>5</xdr:row>
          <xdr:rowOff>66675</xdr:rowOff>
        </xdr:to>
        <xdr:sp macro="" textlink="">
          <xdr:nvSpPr>
            <xdr:cNvPr id="9220" name="CommandButton1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0</xdr:row>
          <xdr:rowOff>228600</xdr:rowOff>
        </xdr:from>
        <xdr:to>
          <xdr:col>4</xdr:col>
          <xdr:colOff>933450</xdr:colOff>
          <xdr:row>2</xdr:row>
          <xdr:rowOff>142875</xdr:rowOff>
        </xdr:to>
        <xdr:sp macro="" textlink="">
          <xdr:nvSpPr>
            <xdr:cNvPr id="2056" name="CommandButton1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314325</xdr:colOff>
          <xdr:row>0</xdr:row>
          <xdr:rowOff>304800</xdr:rowOff>
        </xdr:from>
        <xdr:to>
          <xdr:col>2</xdr:col>
          <xdr:colOff>2181225</xdr:colOff>
          <xdr:row>3</xdr:row>
          <xdr:rowOff>66675</xdr:rowOff>
        </xdr:to>
        <xdr:sp macro="" textlink="">
          <xdr:nvSpPr>
            <xdr:cNvPr id="2057" name="CommandButton2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2</xdr:row>
          <xdr:rowOff>85725</xdr:rowOff>
        </xdr:from>
        <xdr:to>
          <xdr:col>1</xdr:col>
          <xdr:colOff>1028700</xdr:colOff>
          <xdr:row>4</xdr:row>
          <xdr:rowOff>47625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Z21"/>
  <sheetViews>
    <sheetView zoomScale="85" zoomScaleNormal="8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C9" sqref="C9"/>
    </sheetView>
  </sheetViews>
  <sheetFormatPr defaultRowHeight="13.5" x14ac:dyDescent="0.15"/>
  <cols>
    <col min="1" max="1" width="18.125" style="9" customWidth="1"/>
    <col min="2" max="2" width="133.125" style="6" customWidth="1"/>
    <col min="3" max="3" width="19.5" style="7" customWidth="1"/>
    <col min="4" max="4" width="12.125" style="8" customWidth="1"/>
    <col min="5" max="5" width="9" style="8" bestFit="1" customWidth="1"/>
    <col min="6" max="6" width="12.25" style="8" customWidth="1"/>
    <col min="7" max="7" width="11.5" style="8" customWidth="1"/>
    <col min="8" max="24" width="9" style="8"/>
    <col min="25" max="26" width="13" bestFit="1" customWidth="1"/>
  </cols>
  <sheetData>
    <row r="1" spans="1:26" x14ac:dyDescent="0.15">
      <c r="A1" s="9" t="s">
        <v>19</v>
      </c>
      <c r="B1" s="6" t="s">
        <v>4</v>
      </c>
      <c r="C1" s="7" t="s">
        <v>13</v>
      </c>
      <c r="D1" s="8" t="s">
        <v>14</v>
      </c>
      <c r="E1" s="8" t="s">
        <v>5</v>
      </c>
      <c r="F1" s="8" t="s">
        <v>6</v>
      </c>
      <c r="G1" s="8" t="s">
        <v>7</v>
      </c>
      <c r="H1" s="8" t="s">
        <v>8</v>
      </c>
      <c r="I1" s="8" t="s">
        <v>9</v>
      </c>
      <c r="J1" s="8" t="s">
        <v>10</v>
      </c>
      <c r="K1" s="8" t="s">
        <v>11</v>
      </c>
      <c r="L1" s="8" t="s">
        <v>12</v>
      </c>
      <c r="M1" s="8" t="s">
        <v>24</v>
      </c>
      <c r="N1" s="8" t="s">
        <v>25</v>
      </c>
      <c r="O1" s="8" t="s">
        <v>26</v>
      </c>
      <c r="P1" s="8" t="s">
        <v>27</v>
      </c>
      <c r="Q1" s="8" t="s">
        <v>28</v>
      </c>
      <c r="R1" s="8" t="s">
        <v>29</v>
      </c>
      <c r="S1" s="8" t="s">
        <v>30</v>
      </c>
      <c r="T1" s="8" t="s">
        <v>31</v>
      </c>
      <c r="U1" s="8" t="s">
        <v>32</v>
      </c>
      <c r="V1" s="8" t="s">
        <v>33</v>
      </c>
      <c r="W1" s="8" t="s">
        <v>34</v>
      </c>
      <c r="X1" s="8" t="s">
        <v>35</v>
      </c>
      <c r="Y1" s="2" t="s">
        <v>40</v>
      </c>
      <c r="Z1" s="2" t="s">
        <v>41</v>
      </c>
    </row>
    <row r="2" spans="1:26" x14ac:dyDescent="0.15">
      <c r="B2" s="6" t="s">
        <v>23</v>
      </c>
      <c r="C2" s="7" t="s">
        <v>36</v>
      </c>
      <c r="D2" s="8">
        <v>1</v>
      </c>
      <c r="E2" s="8" t="s">
        <v>39</v>
      </c>
    </row>
    <row r="3" spans="1:26" x14ac:dyDescent="0.15">
      <c r="B3" s="6" t="s">
        <v>22</v>
      </c>
      <c r="C3" s="7" t="s">
        <v>20</v>
      </c>
      <c r="D3" s="8">
        <v>1</v>
      </c>
      <c r="E3" s="8" t="s">
        <v>38</v>
      </c>
    </row>
    <row r="4" spans="1:26" s="2" customFormat="1" x14ac:dyDescent="0.15">
      <c r="A4" s="9"/>
      <c r="B4" s="11"/>
      <c r="C4" s="7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</row>
    <row r="5" spans="1:26" s="2" customFormat="1" x14ac:dyDescent="0.15">
      <c r="A5" s="9"/>
      <c r="B5" s="6" t="s">
        <v>61</v>
      </c>
      <c r="C5" s="7" t="s">
        <v>48</v>
      </c>
      <c r="D5" s="8">
        <v>3</v>
      </c>
      <c r="E5" s="8" t="s">
        <v>59</v>
      </c>
      <c r="F5" s="8" t="s">
        <v>60</v>
      </c>
      <c r="G5" s="8" t="s">
        <v>55</v>
      </c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2">
        <v>1</v>
      </c>
      <c r="Z5" s="2">
        <v>-1</v>
      </c>
    </row>
    <row r="6" spans="1:26" s="2" customFormat="1" x14ac:dyDescent="0.15">
      <c r="A6" s="9"/>
      <c r="B6" s="6"/>
      <c r="C6" s="7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</row>
    <row r="7" spans="1:26" s="2" customFormat="1" ht="27" x14ac:dyDescent="0.15">
      <c r="A7" s="9"/>
      <c r="B7" s="11" t="s">
        <v>77</v>
      </c>
      <c r="C7" s="7" t="s">
        <v>49</v>
      </c>
      <c r="D7" s="8">
        <v>1</v>
      </c>
      <c r="E7" s="8" t="s">
        <v>76</v>
      </c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2">
        <v>-1</v>
      </c>
    </row>
    <row r="8" spans="1:26" s="2" customFormat="1" x14ac:dyDescent="0.15">
      <c r="A8" s="9"/>
      <c r="B8" s="11"/>
      <c r="C8" s="7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</row>
    <row r="9" spans="1:26" s="2" customFormat="1" x14ac:dyDescent="0.15">
      <c r="A9" s="9"/>
      <c r="B9" s="6" t="s">
        <v>68</v>
      </c>
      <c r="C9" s="7" t="s">
        <v>56</v>
      </c>
      <c r="D9" s="8">
        <v>5</v>
      </c>
      <c r="E9" s="8" t="s">
        <v>63</v>
      </c>
      <c r="F9" s="8" t="s">
        <v>62</v>
      </c>
      <c r="G9" s="8" t="s">
        <v>58</v>
      </c>
      <c r="H9" s="8" t="s">
        <v>57</v>
      </c>
      <c r="I9" s="8" t="s">
        <v>67</v>
      </c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</row>
    <row r="10" spans="1:26" s="2" customFormat="1" x14ac:dyDescent="0.15">
      <c r="A10" s="9"/>
      <c r="B10" s="6"/>
      <c r="C10" s="7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</row>
    <row r="11" spans="1:26" s="2" customFormat="1" x14ac:dyDescent="0.15">
      <c r="A11" s="9"/>
      <c r="B11" s="24" t="s">
        <v>75</v>
      </c>
      <c r="C11" s="7" t="s">
        <v>64</v>
      </c>
      <c r="D11" s="8">
        <v>4</v>
      </c>
      <c r="E11" s="8" t="s">
        <v>63</v>
      </c>
      <c r="F11" s="8" t="s">
        <v>62</v>
      </c>
      <c r="G11" s="8" t="s">
        <v>65</v>
      </c>
      <c r="H11" s="8" t="s">
        <v>72</v>
      </c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</row>
    <row r="12" spans="1:26" s="2" customFormat="1" x14ac:dyDescent="0.15">
      <c r="A12" s="9"/>
      <c r="B12" s="24"/>
      <c r="C12" s="7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</row>
    <row r="13" spans="1:26" s="2" customFormat="1" x14ac:dyDescent="0.15">
      <c r="A13" s="9"/>
      <c r="B13" s="6" t="s">
        <v>69</v>
      </c>
      <c r="C13" s="7" t="s">
        <v>66</v>
      </c>
      <c r="D13" s="8">
        <v>5</v>
      </c>
      <c r="E13" s="8" t="s">
        <v>63</v>
      </c>
      <c r="F13" s="8" t="s">
        <v>62</v>
      </c>
      <c r="G13" s="8" t="s">
        <v>58</v>
      </c>
      <c r="H13" s="8" t="s">
        <v>57</v>
      </c>
      <c r="I13" s="8" t="s">
        <v>67</v>
      </c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</row>
    <row r="14" spans="1:26" s="2" customFormat="1" x14ac:dyDescent="0.15">
      <c r="A14" s="9"/>
      <c r="B14" s="6"/>
      <c r="C14" s="7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</row>
    <row r="15" spans="1:26" s="2" customFormat="1" x14ac:dyDescent="0.15">
      <c r="A15" s="9"/>
      <c r="B15" s="24" t="s">
        <v>73</v>
      </c>
      <c r="C15" s="7" t="s">
        <v>71</v>
      </c>
      <c r="D15" s="8">
        <v>4</v>
      </c>
      <c r="E15" s="8" t="s">
        <v>63</v>
      </c>
      <c r="F15" s="8" t="s">
        <v>62</v>
      </c>
      <c r="G15" s="8" t="s">
        <v>72</v>
      </c>
      <c r="H15" s="8" t="s">
        <v>67</v>
      </c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</row>
    <row r="16" spans="1:26" s="2" customFormat="1" x14ac:dyDescent="0.15">
      <c r="A16" s="9"/>
      <c r="B16" s="24"/>
      <c r="C16" s="7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</row>
    <row r="17" spans="1:24" s="2" customFormat="1" x14ac:dyDescent="0.15">
      <c r="A17" s="9"/>
      <c r="B17" s="24" t="s">
        <v>82</v>
      </c>
      <c r="C17" s="7" t="s">
        <v>84</v>
      </c>
      <c r="D17" s="8">
        <v>4</v>
      </c>
      <c r="E17" s="8" t="s">
        <v>63</v>
      </c>
      <c r="F17" s="8" t="s">
        <v>62</v>
      </c>
      <c r="G17" s="8" t="s">
        <v>72</v>
      </c>
      <c r="H17" s="8" t="s">
        <v>67</v>
      </c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</row>
    <row r="18" spans="1:24" s="2" customFormat="1" x14ac:dyDescent="0.15">
      <c r="A18" s="9"/>
      <c r="B18" s="6"/>
      <c r="C18" s="7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</row>
    <row r="19" spans="1:24" s="2" customFormat="1" x14ac:dyDescent="0.15">
      <c r="A19" s="9"/>
      <c r="B19" s="6" t="s">
        <v>83</v>
      </c>
      <c r="C19" s="7" t="s">
        <v>81</v>
      </c>
      <c r="D19" s="8">
        <v>4</v>
      </c>
      <c r="E19" s="8" t="s">
        <v>63</v>
      </c>
      <c r="F19" s="8" t="s">
        <v>62</v>
      </c>
      <c r="G19" s="8" t="s">
        <v>72</v>
      </c>
      <c r="H19" s="8" t="s">
        <v>67</v>
      </c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</row>
    <row r="20" spans="1:24" s="2" customFormat="1" x14ac:dyDescent="0.15">
      <c r="A20" s="9"/>
      <c r="B20" s="6"/>
      <c r="C20" s="7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</row>
    <row r="21" spans="1:24" s="2" customFormat="1" x14ac:dyDescent="0.15">
      <c r="A21" s="9"/>
      <c r="B21" s="6"/>
      <c r="C21" s="7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</row>
  </sheetData>
  <phoneticPr fontId="1" type="noConversion"/>
  <pageMargins left="0.7" right="0.7" top="0.75" bottom="0.75" header="0.3" footer="0.3"/>
  <pageSetup paperSize="9" orientation="portrait" horizont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H120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R27" sqref="R27"/>
    </sheetView>
  </sheetViews>
  <sheetFormatPr defaultColWidth="9" defaultRowHeight="13.5" x14ac:dyDescent="0.15"/>
  <cols>
    <col min="1" max="1" width="9.5" style="14" customWidth="1"/>
    <col min="2" max="2" width="43.25" style="1" customWidth="1"/>
    <col min="3" max="3" width="20" style="1" customWidth="1"/>
    <col min="4" max="4" width="26.375" style="1" customWidth="1"/>
    <col min="5" max="5" width="11.625" style="1" bestFit="1" customWidth="1"/>
    <col min="6" max="8" width="9" style="1"/>
    <col min="9" max="9" width="8.875" style="1" customWidth="1"/>
    <col min="10" max="16384" width="9" style="1"/>
  </cols>
  <sheetData>
    <row r="1" spans="1:8" x14ac:dyDescent="0.15">
      <c r="A1" s="14" t="s">
        <v>44</v>
      </c>
      <c r="B1" s="15" t="s">
        <v>3</v>
      </c>
      <c r="C1" s="15" t="s">
        <v>2</v>
      </c>
      <c r="D1" s="15" t="s">
        <v>45</v>
      </c>
    </row>
    <row r="2" spans="1:8" x14ac:dyDescent="0.15">
      <c r="A2" s="14">
        <v>100001</v>
      </c>
      <c r="B2" s="20" t="s">
        <v>80</v>
      </c>
      <c r="C2" s="20"/>
      <c r="D2" s="20"/>
      <c r="H2" s="12" t="s">
        <v>95</v>
      </c>
    </row>
    <row r="3" spans="1:8" x14ac:dyDescent="0.15">
      <c r="A3" s="1"/>
      <c r="H3" s="12" t="s">
        <v>94</v>
      </c>
    </row>
    <row r="4" spans="1:8" x14ac:dyDescent="0.15">
      <c r="A4" s="1"/>
      <c r="H4" s="12" t="s">
        <v>96</v>
      </c>
    </row>
    <row r="5" spans="1:8" x14ac:dyDescent="0.15">
      <c r="A5" s="1"/>
      <c r="H5" s="12" t="s">
        <v>97</v>
      </c>
    </row>
    <row r="6" spans="1:8" x14ac:dyDescent="0.15">
      <c r="A6" s="1"/>
      <c r="H6" s="12" t="s">
        <v>98</v>
      </c>
    </row>
    <row r="7" spans="1:8" x14ac:dyDescent="0.15">
      <c r="A7" s="1"/>
      <c r="H7" s="12" t="s">
        <v>99</v>
      </c>
    </row>
    <row r="8" spans="1:8" x14ac:dyDescent="0.15">
      <c r="A8" s="1"/>
    </row>
    <row r="9" spans="1:8" x14ac:dyDescent="0.15">
      <c r="A9" s="1"/>
    </row>
    <row r="10" spans="1:8" x14ac:dyDescent="0.15">
      <c r="A10" s="1"/>
    </row>
    <row r="11" spans="1:8" x14ac:dyDescent="0.15">
      <c r="A11" s="1"/>
    </row>
    <row r="12" spans="1:8" x14ac:dyDescent="0.15">
      <c r="A12" s="1"/>
    </row>
    <row r="13" spans="1:8" x14ac:dyDescent="0.15">
      <c r="A13" s="1"/>
    </row>
    <row r="14" spans="1:8" x14ac:dyDescent="0.15">
      <c r="A14" s="1"/>
    </row>
    <row r="15" spans="1:8" x14ac:dyDescent="0.15">
      <c r="A15" s="1"/>
    </row>
    <row r="16" spans="1:8" x14ac:dyDescent="0.15">
      <c r="A16" s="1"/>
    </row>
    <row r="17" spans="1:1" x14ac:dyDescent="0.15">
      <c r="A17" s="1"/>
    </row>
    <row r="18" spans="1:1" x14ac:dyDescent="0.15">
      <c r="A18" s="1"/>
    </row>
    <row r="19" spans="1:1" x14ac:dyDescent="0.15">
      <c r="A19" s="1"/>
    </row>
    <row r="20" spans="1:1" x14ac:dyDescent="0.15">
      <c r="A20" s="1"/>
    </row>
    <row r="21" spans="1:1" x14ac:dyDescent="0.15">
      <c r="A21" s="1"/>
    </row>
    <row r="22" spans="1:1" x14ac:dyDescent="0.15">
      <c r="A22" s="1"/>
    </row>
    <row r="23" spans="1:1" x14ac:dyDescent="0.15">
      <c r="A23" s="1"/>
    </row>
    <row r="24" spans="1:1" x14ac:dyDescent="0.15">
      <c r="A24" s="1"/>
    </row>
    <row r="25" spans="1:1" x14ac:dyDescent="0.15">
      <c r="A25" s="1"/>
    </row>
    <row r="26" spans="1:1" x14ac:dyDescent="0.15">
      <c r="A26" s="1"/>
    </row>
    <row r="27" spans="1:1" x14ac:dyDescent="0.15">
      <c r="A27" s="1"/>
    </row>
    <row r="28" spans="1:1" x14ac:dyDescent="0.15">
      <c r="A28" s="1"/>
    </row>
    <row r="29" spans="1:1" x14ac:dyDescent="0.15">
      <c r="A29" s="1"/>
    </row>
    <row r="30" spans="1:1" x14ac:dyDescent="0.15">
      <c r="A30" s="1"/>
    </row>
    <row r="31" spans="1:1" x14ac:dyDescent="0.15">
      <c r="A31" s="1"/>
    </row>
    <row r="32" spans="1:1" x14ac:dyDescent="0.15">
      <c r="A32" s="1"/>
    </row>
    <row r="33" spans="1:1" x14ac:dyDescent="0.15">
      <c r="A33" s="1"/>
    </row>
    <row r="34" spans="1:1" x14ac:dyDescent="0.15">
      <c r="A34" s="1"/>
    </row>
    <row r="35" spans="1:1" x14ac:dyDescent="0.15">
      <c r="A35" s="1"/>
    </row>
    <row r="36" spans="1:1" x14ac:dyDescent="0.15">
      <c r="A36" s="1"/>
    </row>
    <row r="37" spans="1:1" x14ac:dyDescent="0.15">
      <c r="A37" s="1"/>
    </row>
    <row r="38" spans="1:1" x14ac:dyDescent="0.15">
      <c r="A38" s="1"/>
    </row>
    <row r="39" spans="1:1" x14ac:dyDescent="0.15">
      <c r="A39" s="1"/>
    </row>
    <row r="40" spans="1:1" x14ac:dyDescent="0.15">
      <c r="A40" s="1"/>
    </row>
    <row r="41" spans="1:1" x14ac:dyDescent="0.15">
      <c r="A41" s="1"/>
    </row>
    <row r="42" spans="1:1" x14ac:dyDescent="0.15">
      <c r="A42" s="1"/>
    </row>
    <row r="43" spans="1:1" x14ac:dyDescent="0.15">
      <c r="A43" s="1"/>
    </row>
    <row r="44" spans="1:1" x14ac:dyDescent="0.15">
      <c r="A44" s="1"/>
    </row>
    <row r="45" spans="1:1" x14ac:dyDescent="0.15">
      <c r="A45" s="1"/>
    </row>
    <row r="46" spans="1:1" x14ac:dyDescent="0.15">
      <c r="A46" s="1"/>
    </row>
    <row r="47" spans="1:1" x14ac:dyDescent="0.15">
      <c r="A47" s="1"/>
    </row>
    <row r="48" spans="1:1" x14ac:dyDescent="0.15">
      <c r="A48" s="1"/>
    </row>
    <row r="49" spans="1:1" x14ac:dyDescent="0.15">
      <c r="A49" s="1"/>
    </row>
    <row r="50" spans="1:1" s="16" customFormat="1" x14ac:dyDescent="0.15"/>
    <row r="51" spans="1:1" x14ac:dyDescent="0.15">
      <c r="A51" s="1"/>
    </row>
    <row r="52" spans="1:1" x14ac:dyDescent="0.15">
      <c r="A52" s="1"/>
    </row>
    <row r="53" spans="1:1" x14ac:dyDescent="0.15">
      <c r="A53" s="1"/>
    </row>
    <row r="54" spans="1:1" x14ac:dyDescent="0.15">
      <c r="A54" s="1"/>
    </row>
    <row r="55" spans="1:1" x14ac:dyDescent="0.15">
      <c r="A55" s="1"/>
    </row>
    <row r="56" spans="1:1" x14ac:dyDescent="0.15">
      <c r="A56" s="1"/>
    </row>
    <row r="57" spans="1:1" x14ac:dyDescent="0.15">
      <c r="A57" s="1"/>
    </row>
    <row r="58" spans="1:1" x14ac:dyDescent="0.15">
      <c r="A58" s="1"/>
    </row>
    <row r="59" spans="1:1" x14ac:dyDescent="0.15">
      <c r="A59" s="1"/>
    </row>
    <row r="60" spans="1:1" x14ac:dyDescent="0.15">
      <c r="A60" s="1"/>
    </row>
    <row r="61" spans="1:1" x14ac:dyDescent="0.15">
      <c r="A61" s="1"/>
    </row>
    <row r="62" spans="1:1" x14ac:dyDescent="0.15">
      <c r="A62" s="1"/>
    </row>
    <row r="63" spans="1:1" x14ac:dyDescent="0.15">
      <c r="A63" s="1"/>
    </row>
    <row r="64" spans="1:1" x14ac:dyDescent="0.15">
      <c r="A64" s="1"/>
    </row>
    <row r="65" spans="1:1" x14ac:dyDescent="0.15">
      <c r="A65" s="1"/>
    </row>
    <row r="66" spans="1:1" x14ac:dyDescent="0.15">
      <c r="A66" s="1"/>
    </row>
    <row r="67" spans="1:1" x14ac:dyDescent="0.15">
      <c r="A67" s="1"/>
    </row>
    <row r="68" spans="1:1" s="19" customFormat="1" x14ac:dyDescent="0.15"/>
    <row r="69" spans="1:1" s="19" customFormat="1" x14ac:dyDescent="0.15"/>
    <row r="70" spans="1:1" s="19" customFormat="1" x14ac:dyDescent="0.15"/>
    <row r="71" spans="1:1" s="19" customFormat="1" x14ac:dyDescent="0.15"/>
    <row r="72" spans="1:1" s="19" customFormat="1" x14ac:dyDescent="0.15"/>
    <row r="73" spans="1:1" s="19" customFormat="1" x14ac:dyDescent="0.15"/>
    <row r="74" spans="1:1" s="19" customFormat="1" x14ac:dyDescent="0.15"/>
    <row r="75" spans="1:1" s="19" customFormat="1" x14ac:dyDescent="0.15"/>
    <row r="76" spans="1:1" s="19" customFormat="1" x14ac:dyDescent="0.15"/>
    <row r="77" spans="1:1" s="19" customFormat="1" x14ac:dyDescent="0.15"/>
    <row r="78" spans="1:1" s="19" customFormat="1" x14ac:dyDescent="0.15"/>
    <row r="79" spans="1:1" s="19" customFormat="1" x14ac:dyDescent="0.15"/>
    <row r="80" spans="1:1" s="19" customFormat="1" x14ac:dyDescent="0.15"/>
    <row r="81" spans="1:1" s="19" customFormat="1" x14ac:dyDescent="0.15"/>
    <row r="82" spans="1:1" s="19" customFormat="1" x14ac:dyDescent="0.15"/>
    <row r="83" spans="1:1" s="19" customFormat="1" x14ac:dyDescent="0.15"/>
    <row r="84" spans="1:1" s="19" customFormat="1" x14ac:dyDescent="0.15"/>
    <row r="85" spans="1:1" s="19" customFormat="1" x14ac:dyDescent="0.15"/>
    <row r="86" spans="1:1" s="19" customFormat="1" x14ac:dyDescent="0.15"/>
    <row r="87" spans="1:1" s="19" customFormat="1" x14ac:dyDescent="0.15"/>
    <row r="88" spans="1:1" s="19" customFormat="1" x14ac:dyDescent="0.15"/>
    <row r="89" spans="1:1" s="19" customFormat="1" x14ac:dyDescent="0.15"/>
    <row r="90" spans="1:1" s="19" customFormat="1" x14ac:dyDescent="0.15"/>
    <row r="91" spans="1:1" x14ac:dyDescent="0.15">
      <c r="A91" s="1"/>
    </row>
    <row r="92" spans="1:1" x14ac:dyDescent="0.15">
      <c r="A92" s="1"/>
    </row>
    <row r="93" spans="1:1" x14ac:dyDescent="0.15">
      <c r="A93" s="1"/>
    </row>
    <row r="94" spans="1:1" x14ac:dyDescent="0.15">
      <c r="A94" s="1"/>
    </row>
    <row r="95" spans="1:1" x14ac:dyDescent="0.15">
      <c r="A95" s="1"/>
    </row>
    <row r="96" spans="1:1" x14ac:dyDescent="0.15">
      <c r="A96" s="1"/>
    </row>
    <row r="97" spans="1:1" x14ac:dyDescent="0.15">
      <c r="A97" s="1"/>
    </row>
    <row r="98" spans="1:1" x14ac:dyDescent="0.15">
      <c r="A98" s="1"/>
    </row>
    <row r="99" spans="1:1" x14ac:dyDescent="0.15">
      <c r="A99" s="1"/>
    </row>
    <row r="100" spans="1:1" x14ac:dyDescent="0.15">
      <c r="A100" s="1"/>
    </row>
    <row r="101" spans="1:1" x14ac:dyDescent="0.15">
      <c r="A101" s="1"/>
    </row>
    <row r="102" spans="1:1" x14ac:dyDescent="0.15">
      <c r="A102" s="1"/>
    </row>
    <row r="103" spans="1:1" x14ac:dyDescent="0.15">
      <c r="A103" s="1"/>
    </row>
    <row r="104" spans="1:1" x14ac:dyDescent="0.15">
      <c r="A104" s="1"/>
    </row>
    <row r="105" spans="1:1" x14ac:dyDescent="0.15">
      <c r="A105" s="1"/>
    </row>
    <row r="106" spans="1:1" x14ac:dyDescent="0.15">
      <c r="A106" s="1"/>
    </row>
    <row r="107" spans="1:1" x14ac:dyDescent="0.15">
      <c r="A107" s="1"/>
    </row>
    <row r="108" spans="1:1" x14ac:dyDescent="0.15">
      <c r="A108" s="1"/>
    </row>
    <row r="109" spans="1:1" x14ac:dyDescent="0.15">
      <c r="A109" s="1"/>
    </row>
    <row r="110" spans="1:1" x14ac:dyDescent="0.15">
      <c r="A110" s="1"/>
    </row>
    <row r="111" spans="1:1" x14ac:dyDescent="0.15">
      <c r="A111" s="1"/>
    </row>
    <row r="112" spans="1:1" x14ac:dyDescent="0.15">
      <c r="A112" s="1"/>
    </row>
    <row r="113" spans="1:2" x14ac:dyDescent="0.15">
      <c r="A113" s="1"/>
    </row>
    <row r="114" spans="1:2" x14ac:dyDescent="0.15">
      <c r="A114" s="1"/>
    </row>
    <row r="115" spans="1:2" x14ac:dyDescent="0.15">
      <c r="A115" s="1"/>
    </row>
    <row r="116" spans="1:2" x14ac:dyDescent="0.15">
      <c r="A116" s="1"/>
    </row>
    <row r="117" spans="1:2" x14ac:dyDescent="0.15">
      <c r="A117" s="1"/>
    </row>
    <row r="118" spans="1:2" x14ac:dyDescent="0.15">
      <c r="A118" s="1"/>
    </row>
    <row r="119" spans="1:2" x14ac:dyDescent="0.15">
      <c r="A119" s="1"/>
    </row>
    <row r="120" spans="1:2" x14ac:dyDescent="0.15">
      <c r="B120" s="20"/>
    </row>
  </sheetData>
  <sheetProtection formatCells="0" formatColumns="0" formatRows="0" insertColumns="0" insertRows="0" insertHyperlinks="0" deleteColumns="0" deleteRows="0" sort="0" autoFilter="0" pivotTables="0"/>
  <phoneticPr fontId="1" type="noConversion"/>
  <pageMargins left="0.7" right="0.7" top="0.75" bottom="0.75" header="0.3" footer="0.3"/>
  <pageSetup paperSize="9" orientation="portrait" horizontalDpi="300" verticalDpi="0" copies="0" r:id="rId1"/>
  <drawing r:id="rId2"/>
  <legacyDrawing r:id="rId3"/>
  <controls>
    <mc:AlternateContent xmlns:mc="http://schemas.openxmlformats.org/markup-compatibility/2006">
      <mc:Choice Requires="x14">
        <control shapeId="6145" r:id="rId4" name="CommandButton1">
          <controlPr autoLine="0" r:id="rId5">
            <anchor moveWithCells="1">
              <from>
                <xdr:col>4</xdr:col>
                <xdr:colOff>38100</xdr:colOff>
                <xdr:row>0</xdr:row>
                <xdr:rowOff>38100</xdr:rowOff>
              </from>
              <to>
                <xdr:col>6</xdr:col>
                <xdr:colOff>457200</xdr:colOff>
                <xdr:row>3</xdr:row>
                <xdr:rowOff>114300</xdr:rowOff>
              </to>
            </anchor>
          </controlPr>
        </control>
      </mc:Choice>
      <mc:Fallback>
        <control shapeId="6145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10"/>
  <sheetViews>
    <sheetView workbookViewId="0">
      <selection activeCell="A24" sqref="A24"/>
    </sheetView>
  </sheetViews>
  <sheetFormatPr defaultRowHeight="13.5" x14ac:dyDescent="0.15"/>
  <cols>
    <col min="1" max="1" width="202.5" bestFit="1" customWidth="1"/>
  </cols>
  <sheetData>
    <row r="1" spans="1:1" x14ac:dyDescent="0.15">
      <c r="A1" s="6" t="s">
        <v>50</v>
      </c>
    </row>
    <row r="2" spans="1:1" x14ac:dyDescent="0.15">
      <c r="A2" s="6" t="s">
        <v>51</v>
      </c>
    </row>
    <row r="3" spans="1:1" x14ac:dyDescent="0.15">
      <c r="A3" s="6" t="s">
        <v>52</v>
      </c>
    </row>
    <row r="4" spans="1:1" x14ac:dyDescent="0.15">
      <c r="A4" s="6" t="s">
        <v>53</v>
      </c>
    </row>
    <row r="10" spans="1:1" x14ac:dyDescent="0.15">
      <c r="A10" s="6" t="s">
        <v>86</v>
      </c>
    </row>
  </sheetData>
  <phoneticPr fontId="1" type="noConversion"/>
  <pageMargins left="0.7" right="0.7" top="0.75" bottom="0.75" header="0.3" footer="0.3"/>
  <pageSetup paperSize="9" orientation="portrait" horizont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Y479"/>
  <sheetViews>
    <sheetView workbookViewId="0">
      <pane ySplit="9" topLeftCell="A448" activePane="bottomLeft" state="frozen"/>
      <selection pane="bottomLeft" activeCell="M450" sqref="M450:M473"/>
    </sheetView>
  </sheetViews>
  <sheetFormatPr defaultRowHeight="13.5" x14ac:dyDescent="0.15"/>
  <cols>
    <col min="1" max="1" width="14.25" customWidth="1"/>
    <col min="2" max="2" width="10.75" customWidth="1"/>
    <col min="3" max="3" width="12.625" bestFit="1" customWidth="1"/>
    <col min="4" max="4" width="20.75" style="2" customWidth="1"/>
    <col min="5" max="5" width="9.5" bestFit="1" customWidth="1"/>
    <col min="6" max="6" width="10.5" bestFit="1" customWidth="1"/>
    <col min="7" max="7" width="29.125" customWidth="1"/>
    <col min="8" max="8" width="16.25" customWidth="1"/>
    <col min="12" max="12" width="9" style="2"/>
    <col min="13" max="13" width="47.375" bestFit="1" customWidth="1"/>
  </cols>
  <sheetData>
    <row r="1" spans="1:15" x14ac:dyDescent="0.15">
      <c r="B1" s="25" t="s">
        <v>93</v>
      </c>
      <c r="C1" s="25" t="s">
        <v>100</v>
      </c>
      <c r="D1" s="25" t="s">
        <v>110</v>
      </c>
      <c r="E1" s="25" t="s">
        <v>108</v>
      </c>
      <c r="F1" s="25" t="s">
        <v>109</v>
      </c>
      <c r="G1" s="25" t="s">
        <v>119</v>
      </c>
      <c r="H1" s="25" t="s">
        <v>120</v>
      </c>
    </row>
    <row r="2" spans="1:15" x14ac:dyDescent="0.15">
      <c r="B2" s="26" t="s">
        <v>95</v>
      </c>
      <c r="C2" s="26" t="s">
        <v>101</v>
      </c>
      <c r="D2" s="26" t="s">
        <v>111</v>
      </c>
      <c r="E2" s="26">
        <v>0</v>
      </c>
      <c r="F2" s="26">
        <v>99999999</v>
      </c>
      <c r="G2" s="26"/>
      <c r="H2" s="26">
        <v>1</v>
      </c>
      <c r="M2" s="12" t="s">
        <v>70</v>
      </c>
    </row>
    <row r="3" spans="1:15" x14ac:dyDescent="0.15">
      <c r="B3" s="26" t="s">
        <v>94</v>
      </c>
      <c r="C3" s="26" t="s">
        <v>102</v>
      </c>
      <c r="D3" s="26" t="s">
        <v>112</v>
      </c>
      <c r="E3" s="26"/>
      <c r="F3" s="26">
        <v>16</v>
      </c>
      <c r="G3" s="26"/>
      <c r="H3" s="26" t="s">
        <v>123</v>
      </c>
      <c r="M3" s="12" t="s">
        <v>87</v>
      </c>
    </row>
    <row r="4" spans="1:15" x14ac:dyDescent="0.15">
      <c r="B4" s="26" t="s">
        <v>96</v>
      </c>
      <c r="C4" s="26" t="s">
        <v>103</v>
      </c>
      <c r="D4" s="26" t="s">
        <v>113</v>
      </c>
      <c r="E4" s="26">
        <v>0</v>
      </c>
      <c r="F4" s="26">
        <v>99999999</v>
      </c>
      <c r="G4" s="26"/>
      <c r="H4" s="26">
        <v>0</v>
      </c>
      <c r="M4" s="12" t="s">
        <v>88</v>
      </c>
    </row>
    <row r="5" spans="1:15" x14ac:dyDescent="0.15">
      <c r="B5" s="26" t="s">
        <v>97</v>
      </c>
      <c r="C5" s="26" t="s">
        <v>104</v>
      </c>
      <c r="D5" s="26" t="s">
        <v>114</v>
      </c>
      <c r="E5" s="26"/>
      <c r="F5" s="26"/>
      <c r="G5" s="26" t="s">
        <v>121</v>
      </c>
      <c r="H5" s="26">
        <v>-1</v>
      </c>
      <c r="M5" s="12" t="s">
        <v>89</v>
      </c>
    </row>
    <row r="6" spans="1:15" x14ac:dyDescent="0.15">
      <c r="B6" s="26" t="s">
        <v>97</v>
      </c>
      <c r="C6" s="26" t="s">
        <v>105</v>
      </c>
      <c r="D6" s="26" t="s">
        <v>115</v>
      </c>
      <c r="E6" s="26"/>
      <c r="F6" s="26"/>
      <c r="G6" s="26" t="s">
        <v>122</v>
      </c>
      <c r="H6" s="26">
        <v>-1</v>
      </c>
      <c r="M6" s="12" t="s">
        <v>90</v>
      </c>
    </row>
    <row r="7" spans="1:15" x14ac:dyDescent="0.15">
      <c r="B7" s="26" t="s">
        <v>98</v>
      </c>
      <c r="C7" s="26" t="s">
        <v>106</v>
      </c>
      <c r="D7" s="26" t="s">
        <v>116</v>
      </c>
      <c r="E7" s="26"/>
      <c r="F7" s="26"/>
      <c r="G7" s="26" t="s">
        <v>117</v>
      </c>
      <c r="H7" s="26">
        <v>0</v>
      </c>
      <c r="J7" s="28" t="s">
        <v>124</v>
      </c>
      <c r="K7" s="28">
        <v>450</v>
      </c>
      <c r="M7" s="12" t="s">
        <v>91</v>
      </c>
    </row>
    <row r="8" spans="1:15" x14ac:dyDescent="0.15">
      <c r="B8" s="26" t="s">
        <v>99</v>
      </c>
      <c r="C8" s="26" t="s">
        <v>107</v>
      </c>
      <c r="D8" s="26" t="s">
        <v>118</v>
      </c>
      <c r="E8" s="26"/>
      <c r="F8" s="26"/>
      <c r="G8" s="26" t="s">
        <v>117</v>
      </c>
      <c r="H8" s="26">
        <v>0</v>
      </c>
      <c r="J8" s="28" t="s">
        <v>124</v>
      </c>
      <c r="K8" s="28">
        <v>500</v>
      </c>
      <c r="M8" s="12" t="s">
        <v>92</v>
      </c>
    </row>
    <row r="9" spans="1:15" x14ac:dyDescent="0.15">
      <c r="M9" s="2"/>
    </row>
    <row r="10" spans="1:15" x14ac:dyDescent="0.15">
      <c r="A10" s="27" t="s">
        <v>130</v>
      </c>
      <c r="B10" s="27" t="s">
        <v>128</v>
      </c>
      <c r="C10" s="27" t="s">
        <v>127</v>
      </c>
      <c r="M10" s="2" t="s">
        <v>137</v>
      </c>
      <c r="N10" s="2"/>
      <c r="O10" s="2"/>
    </row>
    <row r="11" spans="1:15" x14ac:dyDescent="0.15">
      <c r="B11" s="27" t="s">
        <v>95</v>
      </c>
      <c r="C11" s="27" t="s">
        <v>101</v>
      </c>
      <c r="D11" s="27" t="s">
        <v>111</v>
      </c>
      <c r="E11" s="27">
        <v>0</v>
      </c>
      <c r="F11" s="27">
        <v>99999999</v>
      </c>
      <c r="G11" s="27"/>
      <c r="H11" s="27">
        <v>1</v>
      </c>
      <c r="M11" s="2" t="s">
        <v>309</v>
      </c>
      <c r="N11" s="2"/>
      <c r="O11" s="2"/>
    </row>
    <row r="12" spans="1:15" x14ac:dyDescent="0.15">
      <c r="B12" s="27" t="s">
        <v>94</v>
      </c>
      <c r="C12" s="27" t="s">
        <v>102</v>
      </c>
      <c r="D12" s="27" t="s">
        <v>112</v>
      </c>
      <c r="E12" s="27"/>
      <c r="F12" s="27">
        <v>16</v>
      </c>
      <c r="G12" s="27"/>
      <c r="H12" s="27" t="s">
        <v>123</v>
      </c>
      <c r="M12" s="2" t="s">
        <v>310</v>
      </c>
      <c r="N12" s="2"/>
      <c r="O12" s="2"/>
    </row>
    <row r="13" spans="1:15" x14ac:dyDescent="0.15">
      <c r="B13" s="27" t="s">
        <v>96</v>
      </c>
      <c r="C13" s="27" t="s">
        <v>103</v>
      </c>
      <c r="D13" s="27" t="s">
        <v>113</v>
      </c>
      <c r="E13" s="27">
        <v>0</v>
      </c>
      <c r="F13" s="27">
        <v>99999999</v>
      </c>
      <c r="G13" s="27"/>
      <c r="H13" s="27">
        <v>0</v>
      </c>
      <c r="M13" s="2" t="s">
        <v>311</v>
      </c>
      <c r="N13" s="2"/>
      <c r="O13" s="2"/>
    </row>
    <row r="14" spans="1:15" x14ac:dyDescent="0.15">
      <c r="B14" s="27" t="s">
        <v>97</v>
      </c>
      <c r="C14" s="27" t="s">
        <v>104</v>
      </c>
      <c r="D14" s="27" t="s">
        <v>114</v>
      </c>
      <c r="E14" s="27"/>
      <c r="F14" s="27"/>
      <c r="G14" s="27" t="s">
        <v>132</v>
      </c>
      <c r="H14" s="27">
        <v>-1</v>
      </c>
      <c r="M14" s="2" t="s">
        <v>312</v>
      </c>
      <c r="N14" s="2"/>
      <c r="O14" s="2"/>
    </row>
    <row r="15" spans="1:15" x14ac:dyDescent="0.15">
      <c r="B15" s="27" t="s">
        <v>97</v>
      </c>
      <c r="C15" s="27" t="s">
        <v>105</v>
      </c>
      <c r="D15" s="27" t="s">
        <v>115</v>
      </c>
      <c r="E15" s="27"/>
      <c r="F15" s="27"/>
      <c r="G15" s="27" t="s">
        <v>136</v>
      </c>
      <c r="H15" s="27">
        <v>-1</v>
      </c>
      <c r="M15" s="2" t="s">
        <v>313</v>
      </c>
      <c r="N15" s="2"/>
      <c r="O15" s="2"/>
    </row>
    <row r="16" spans="1:15" x14ac:dyDescent="0.15">
      <c r="B16" s="27" t="s">
        <v>98</v>
      </c>
      <c r="C16" s="27" t="s">
        <v>106</v>
      </c>
      <c r="D16" s="27" t="s">
        <v>116</v>
      </c>
      <c r="E16" s="27"/>
      <c r="F16" s="27"/>
      <c r="G16" s="27" t="s">
        <v>125</v>
      </c>
      <c r="H16" s="27">
        <v>0</v>
      </c>
      <c r="M16" s="2" t="s">
        <v>314</v>
      </c>
      <c r="N16" s="2"/>
      <c r="O16" s="2"/>
    </row>
    <row r="17" spans="1:15" x14ac:dyDescent="0.15">
      <c r="B17" s="27" t="s">
        <v>99</v>
      </c>
      <c r="C17" s="27" t="s">
        <v>126</v>
      </c>
      <c r="D17" s="27" t="s">
        <v>118</v>
      </c>
      <c r="E17" s="27"/>
      <c r="F17" s="27"/>
      <c r="G17" s="27" t="s">
        <v>125</v>
      </c>
      <c r="H17" s="27">
        <v>0</v>
      </c>
      <c r="M17" s="2" t="s">
        <v>315</v>
      </c>
      <c r="N17" s="2"/>
      <c r="O17" s="2"/>
    </row>
    <row r="18" spans="1:15" x14ac:dyDescent="0.15">
      <c r="B18" s="2"/>
      <c r="C18" s="2"/>
      <c r="E18" s="2"/>
      <c r="F18" s="2"/>
      <c r="G18" s="2"/>
      <c r="H18" s="2"/>
      <c r="M18" s="2" t="s">
        <v>316</v>
      </c>
      <c r="N18" s="2"/>
      <c r="O18" s="2"/>
    </row>
    <row r="19" spans="1:15" x14ac:dyDescent="0.15">
      <c r="A19" s="27" t="s">
        <v>131</v>
      </c>
      <c r="B19" s="27" t="s">
        <v>129</v>
      </c>
      <c r="C19" s="27" t="s">
        <v>127</v>
      </c>
      <c r="E19" s="2"/>
      <c r="F19" s="2"/>
      <c r="G19" s="2"/>
      <c r="H19" s="2"/>
      <c r="M19" s="2" t="s">
        <v>317</v>
      </c>
      <c r="N19" s="2"/>
      <c r="O19" s="2"/>
    </row>
    <row r="20" spans="1:15" x14ac:dyDescent="0.15">
      <c r="A20" s="2"/>
      <c r="B20" s="27" t="s">
        <v>95</v>
      </c>
      <c r="C20" s="27" t="s">
        <v>101</v>
      </c>
      <c r="D20" s="27" t="s">
        <v>111</v>
      </c>
      <c r="E20" s="27">
        <v>0</v>
      </c>
      <c r="F20" s="27">
        <v>99999999</v>
      </c>
      <c r="G20" s="27"/>
      <c r="H20" s="27">
        <v>1</v>
      </c>
      <c r="M20" s="2" t="s">
        <v>309</v>
      </c>
      <c r="N20" s="2"/>
      <c r="O20" s="2"/>
    </row>
    <row r="21" spans="1:15" x14ac:dyDescent="0.15">
      <c r="A21" s="2"/>
      <c r="B21" s="27" t="s">
        <v>94</v>
      </c>
      <c r="C21" s="27" t="s">
        <v>102</v>
      </c>
      <c r="D21" s="27" t="s">
        <v>112</v>
      </c>
      <c r="E21" s="27"/>
      <c r="F21" s="27">
        <v>16</v>
      </c>
      <c r="G21" s="27"/>
      <c r="H21" s="27" t="s">
        <v>123</v>
      </c>
      <c r="M21" s="2" t="s">
        <v>310</v>
      </c>
      <c r="N21" s="2"/>
      <c r="O21" s="2"/>
    </row>
    <row r="22" spans="1:15" x14ac:dyDescent="0.15">
      <c r="A22" s="2"/>
      <c r="B22" s="2"/>
      <c r="C22" s="2"/>
      <c r="E22" s="2"/>
      <c r="F22" s="2"/>
      <c r="G22" s="2"/>
      <c r="H22" s="2"/>
      <c r="M22" s="2" t="s">
        <v>316</v>
      </c>
      <c r="N22" s="2"/>
      <c r="O22" s="2"/>
    </row>
    <row r="23" spans="1:15" x14ac:dyDescent="0.15">
      <c r="A23" s="27" t="s">
        <v>132</v>
      </c>
      <c r="B23" s="27" t="s">
        <v>133</v>
      </c>
      <c r="C23" s="27" t="s">
        <v>127</v>
      </c>
      <c r="E23" s="2"/>
      <c r="F23" s="2"/>
      <c r="G23" s="2"/>
      <c r="H23" s="2"/>
      <c r="M23" s="2" t="s">
        <v>318</v>
      </c>
      <c r="N23" s="2"/>
      <c r="O23" s="2"/>
    </row>
    <row r="24" spans="1:15" x14ac:dyDescent="0.15">
      <c r="A24" s="2"/>
      <c r="B24" s="27" t="s">
        <v>95</v>
      </c>
      <c r="C24" s="27" t="s">
        <v>101</v>
      </c>
      <c r="D24" s="27" t="s">
        <v>111</v>
      </c>
      <c r="E24" s="27">
        <v>0</v>
      </c>
      <c r="F24" s="27">
        <v>99999999</v>
      </c>
      <c r="G24" s="27"/>
      <c r="H24" s="27">
        <v>1</v>
      </c>
      <c r="M24" s="2" t="s">
        <v>309</v>
      </c>
      <c r="N24" s="2"/>
      <c r="O24" s="2"/>
    </row>
    <row r="25" spans="1:15" x14ac:dyDescent="0.15">
      <c r="A25" s="2"/>
      <c r="B25" s="27" t="s">
        <v>94</v>
      </c>
      <c r="C25" s="27" t="s">
        <v>102</v>
      </c>
      <c r="D25" s="27" t="s">
        <v>112</v>
      </c>
      <c r="E25" s="27"/>
      <c r="F25" s="27">
        <v>16</v>
      </c>
      <c r="G25" s="27"/>
      <c r="H25" s="27" t="s">
        <v>123</v>
      </c>
      <c r="M25" s="2" t="s">
        <v>310</v>
      </c>
      <c r="N25" s="2"/>
      <c r="O25" s="2"/>
    </row>
    <row r="26" spans="1:15" x14ac:dyDescent="0.15">
      <c r="A26" s="2"/>
      <c r="B26" s="2"/>
      <c r="C26" s="2"/>
      <c r="E26" s="2"/>
      <c r="F26" s="2"/>
      <c r="G26" s="2"/>
      <c r="H26" s="2"/>
      <c r="M26" s="2" t="s">
        <v>316</v>
      </c>
      <c r="N26" s="2"/>
      <c r="O26" s="2"/>
    </row>
    <row r="27" spans="1:15" s="2" customFormat="1" x14ac:dyDescent="0.15">
      <c r="A27" s="28" t="s">
        <v>170</v>
      </c>
      <c r="B27" s="28" t="s">
        <v>172</v>
      </c>
      <c r="C27" s="28" t="s">
        <v>171</v>
      </c>
      <c r="M27" s="2" t="s">
        <v>319</v>
      </c>
    </row>
    <row r="28" spans="1:15" s="2" customFormat="1" ht="14.25" x14ac:dyDescent="0.15">
      <c r="B28" s="28" t="s">
        <v>95</v>
      </c>
      <c r="C28" s="28" t="s">
        <v>101</v>
      </c>
      <c r="D28" s="28" t="s">
        <v>173</v>
      </c>
      <c r="E28" s="28">
        <v>0</v>
      </c>
      <c r="F28" s="28">
        <v>31</v>
      </c>
      <c r="G28" s="28"/>
      <c r="H28" s="28">
        <v>1</v>
      </c>
      <c r="M28" s="2" t="s">
        <v>320</v>
      </c>
    </row>
    <row r="29" spans="1:15" s="2" customFormat="1" x14ac:dyDescent="0.15">
      <c r="B29" s="28" t="s">
        <v>94</v>
      </c>
      <c r="C29" s="28" t="s">
        <v>102</v>
      </c>
      <c r="D29" s="28" t="s">
        <v>174</v>
      </c>
      <c r="E29" s="28"/>
      <c r="F29" s="28">
        <v>16</v>
      </c>
      <c r="G29" s="28"/>
      <c r="H29" s="28" t="s">
        <v>183</v>
      </c>
      <c r="M29" s="2" t="s">
        <v>321</v>
      </c>
    </row>
    <row r="30" spans="1:15" s="2" customFormat="1" x14ac:dyDescent="0.15">
      <c r="B30" s="28" t="s">
        <v>95</v>
      </c>
      <c r="C30" s="28" t="s">
        <v>103</v>
      </c>
      <c r="D30" s="28" t="s">
        <v>175</v>
      </c>
      <c r="E30" s="28">
        <v>0</v>
      </c>
      <c r="F30" s="28">
        <v>255</v>
      </c>
      <c r="G30" s="28"/>
      <c r="H30" s="28">
        <v>255</v>
      </c>
      <c r="M30" s="2" t="s">
        <v>322</v>
      </c>
    </row>
    <row r="31" spans="1:15" s="2" customFormat="1" x14ac:dyDescent="0.15">
      <c r="B31" s="28" t="s">
        <v>95</v>
      </c>
      <c r="C31" s="28" t="s">
        <v>104</v>
      </c>
      <c r="D31" s="28" t="s">
        <v>176</v>
      </c>
      <c r="E31" s="28">
        <v>0</v>
      </c>
      <c r="F31" s="28">
        <v>255</v>
      </c>
      <c r="G31" s="28"/>
      <c r="H31" s="28">
        <v>255</v>
      </c>
      <c r="M31" s="2" t="s">
        <v>323</v>
      </c>
    </row>
    <row r="32" spans="1:15" s="2" customFormat="1" x14ac:dyDescent="0.15">
      <c r="B32" s="28" t="s">
        <v>95</v>
      </c>
      <c r="C32" s="28" t="s">
        <v>105</v>
      </c>
      <c r="D32" s="28" t="s">
        <v>177</v>
      </c>
      <c r="E32" s="28">
        <v>0</v>
      </c>
      <c r="F32" s="28">
        <v>255</v>
      </c>
      <c r="G32" s="28"/>
      <c r="H32" s="28">
        <v>255</v>
      </c>
      <c r="M32" s="2" t="s">
        <v>324</v>
      </c>
    </row>
    <row r="33" spans="1:15" s="2" customFormat="1" x14ac:dyDescent="0.15">
      <c r="B33" s="28" t="s">
        <v>95</v>
      </c>
      <c r="C33" s="28" t="s">
        <v>106</v>
      </c>
      <c r="D33" s="28" t="s">
        <v>178</v>
      </c>
      <c r="E33" s="28">
        <v>0</v>
      </c>
      <c r="F33" s="28">
        <v>255</v>
      </c>
      <c r="G33" s="28"/>
      <c r="H33" s="28">
        <v>255</v>
      </c>
      <c r="M33" s="2" t="s">
        <v>325</v>
      </c>
    </row>
    <row r="34" spans="1:15" s="2" customFormat="1" x14ac:dyDescent="0.15">
      <c r="M34" s="2" t="s">
        <v>316</v>
      </c>
    </row>
    <row r="35" spans="1:15" s="2" customFormat="1" x14ac:dyDescent="0.15">
      <c r="A35" s="28" t="s">
        <v>169</v>
      </c>
      <c r="B35" s="28" t="s">
        <v>247</v>
      </c>
      <c r="C35" s="28" t="s">
        <v>140</v>
      </c>
      <c r="M35" s="2" t="s">
        <v>326</v>
      </c>
    </row>
    <row r="36" spans="1:15" s="2" customFormat="1" ht="14.25" x14ac:dyDescent="0.15">
      <c r="B36" s="28" t="s">
        <v>95</v>
      </c>
      <c r="C36" s="28" t="s">
        <v>101</v>
      </c>
      <c r="D36" s="28" t="s">
        <v>165</v>
      </c>
      <c r="E36" s="28">
        <v>0</v>
      </c>
      <c r="F36" s="28">
        <v>31</v>
      </c>
      <c r="G36" s="28"/>
      <c r="H36" s="28">
        <v>1</v>
      </c>
      <c r="M36" s="2" t="s">
        <v>327</v>
      </c>
    </row>
    <row r="37" spans="1:15" s="2" customFormat="1" x14ac:dyDescent="0.15">
      <c r="B37" s="28" t="s">
        <v>94</v>
      </c>
      <c r="C37" s="28" t="s">
        <v>102</v>
      </c>
      <c r="D37" s="28" t="s">
        <v>166</v>
      </c>
      <c r="E37" s="28"/>
      <c r="F37" s="28">
        <v>16</v>
      </c>
      <c r="G37" s="28"/>
      <c r="H37" s="28" t="s">
        <v>182</v>
      </c>
      <c r="M37" s="2" t="s">
        <v>328</v>
      </c>
    </row>
    <row r="38" spans="1:15" s="2" customFormat="1" x14ac:dyDescent="0.15">
      <c r="B38" s="28" t="s">
        <v>164</v>
      </c>
      <c r="C38" s="28" t="s">
        <v>103</v>
      </c>
      <c r="D38" s="28" t="s">
        <v>167</v>
      </c>
      <c r="E38" s="28">
        <v>1</v>
      </c>
      <c r="F38" s="28">
        <v>9999</v>
      </c>
      <c r="G38" s="28"/>
      <c r="H38" s="28">
        <v>1</v>
      </c>
      <c r="M38" s="2" t="s">
        <v>329</v>
      </c>
    </row>
    <row r="39" spans="1:15" s="2" customFormat="1" x14ac:dyDescent="0.15">
      <c r="B39" s="28" t="s">
        <v>164</v>
      </c>
      <c r="C39" s="28" t="s">
        <v>104</v>
      </c>
      <c r="D39" s="28" t="s">
        <v>168</v>
      </c>
      <c r="E39" s="28">
        <v>1</v>
      </c>
      <c r="F39" s="28">
        <v>10000</v>
      </c>
      <c r="G39" s="28"/>
      <c r="H39" s="28">
        <v>1</v>
      </c>
      <c r="M39" s="2" t="s">
        <v>330</v>
      </c>
    </row>
    <row r="40" spans="1:15" s="2" customFormat="1" x14ac:dyDescent="0.15">
      <c r="M40" s="2" t="s">
        <v>316</v>
      </c>
    </row>
    <row r="41" spans="1:15" s="2" customFormat="1" x14ac:dyDescent="0.15">
      <c r="A41" s="27" t="s">
        <v>179</v>
      </c>
      <c r="B41" s="27" t="s">
        <v>180</v>
      </c>
      <c r="C41" s="27" t="s">
        <v>140</v>
      </c>
      <c r="M41" s="2" t="s">
        <v>331</v>
      </c>
    </row>
    <row r="42" spans="1:15" s="2" customFormat="1" x14ac:dyDescent="0.15">
      <c r="B42" s="27" t="s">
        <v>95</v>
      </c>
      <c r="C42" s="27" t="s">
        <v>101</v>
      </c>
      <c r="D42" s="27" t="s">
        <v>111</v>
      </c>
      <c r="E42" s="27">
        <v>0</v>
      </c>
      <c r="F42" s="27">
        <v>99999999</v>
      </c>
      <c r="G42" s="27"/>
      <c r="H42" s="27">
        <v>1</v>
      </c>
      <c r="M42" s="2" t="s">
        <v>309</v>
      </c>
    </row>
    <row r="43" spans="1:15" s="2" customFormat="1" x14ac:dyDescent="0.15">
      <c r="B43" s="27" t="s">
        <v>94</v>
      </c>
      <c r="C43" s="27" t="s">
        <v>102</v>
      </c>
      <c r="D43" s="27" t="s">
        <v>181</v>
      </c>
      <c r="E43" s="27"/>
      <c r="F43" s="27">
        <v>16</v>
      </c>
      <c r="G43" s="27"/>
      <c r="H43" s="27" t="s">
        <v>185</v>
      </c>
      <c r="M43" s="2" t="s">
        <v>332</v>
      </c>
    </row>
    <row r="44" spans="1:15" s="2" customFormat="1" x14ac:dyDescent="0.15">
      <c r="M44" s="2" t="s">
        <v>316</v>
      </c>
    </row>
    <row r="45" spans="1:15" x14ac:dyDescent="0.15">
      <c r="A45" s="27" t="s">
        <v>138</v>
      </c>
      <c r="B45" s="27" t="s">
        <v>139</v>
      </c>
      <c r="C45" s="27" t="s">
        <v>140</v>
      </c>
      <c r="E45" s="2"/>
      <c r="F45" s="2"/>
      <c r="G45" s="2"/>
      <c r="H45" s="2"/>
      <c r="M45" s="2" t="s">
        <v>333</v>
      </c>
      <c r="N45" s="2"/>
      <c r="O45" s="2"/>
    </row>
    <row r="46" spans="1:15" x14ac:dyDescent="0.15">
      <c r="A46" s="2"/>
      <c r="B46" s="27" t="s">
        <v>95</v>
      </c>
      <c r="C46" s="27" t="s">
        <v>101</v>
      </c>
      <c r="D46" s="27" t="s">
        <v>111</v>
      </c>
      <c r="E46" s="27">
        <v>0</v>
      </c>
      <c r="F46" s="27">
        <v>99999999</v>
      </c>
      <c r="G46" s="27"/>
      <c r="H46" s="27">
        <v>1</v>
      </c>
      <c r="J46" s="2"/>
      <c r="K46" s="2"/>
      <c r="M46" s="2" t="s">
        <v>309</v>
      </c>
      <c r="N46" s="2"/>
      <c r="O46" s="2"/>
    </row>
    <row r="47" spans="1:15" x14ac:dyDescent="0.15">
      <c r="A47" s="2"/>
      <c r="B47" s="27" t="s">
        <v>94</v>
      </c>
      <c r="C47" s="27" t="s">
        <v>102</v>
      </c>
      <c r="D47" s="27" t="s">
        <v>112</v>
      </c>
      <c r="E47" s="27"/>
      <c r="F47" s="27">
        <v>16</v>
      </c>
      <c r="G47" s="27"/>
      <c r="H47" s="27" t="s">
        <v>184</v>
      </c>
      <c r="J47" s="2"/>
      <c r="K47" s="2"/>
      <c r="M47" s="2" t="s">
        <v>334</v>
      </c>
      <c r="N47" s="2"/>
      <c r="O47" s="2"/>
    </row>
    <row r="48" spans="1:15" x14ac:dyDescent="0.15">
      <c r="B48" s="27" t="s">
        <v>97</v>
      </c>
      <c r="C48" s="27" t="s">
        <v>103</v>
      </c>
      <c r="D48" s="27" t="s">
        <v>141</v>
      </c>
      <c r="E48" s="27"/>
      <c r="F48" s="27"/>
      <c r="G48" s="27" t="s">
        <v>169</v>
      </c>
      <c r="H48" s="27">
        <v>-1</v>
      </c>
      <c r="J48" s="2"/>
      <c r="K48" s="2"/>
      <c r="M48" s="2" t="s">
        <v>335</v>
      </c>
      <c r="N48" s="2"/>
      <c r="O48" s="2"/>
    </row>
    <row r="49" spans="1:15" x14ac:dyDescent="0.15">
      <c r="B49" s="27" t="s">
        <v>99</v>
      </c>
      <c r="C49" s="27" t="s">
        <v>104</v>
      </c>
      <c r="D49" s="27" t="s">
        <v>142</v>
      </c>
      <c r="E49" s="27"/>
      <c r="F49" s="27"/>
      <c r="G49" s="27" t="s">
        <v>250</v>
      </c>
      <c r="H49" s="27">
        <v>0</v>
      </c>
      <c r="J49" s="2"/>
      <c r="K49" s="2"/>
      <c r="M49" s="2" t="s">
        <v>336</v>
      </c>
      <c r="N49" s="2"/>
      <c r="O49" s="2"/>
    </row>
    <row r="50" spans="1:15" x14ac:dyDescent="0.15">
      <c r="B50" s="27" t="s">
        <v>95</v>
      </c>
      <c r="C50" s="27" t="s">
        <v>105</v>
      </c>
      <c r="D50" s="27" t="s">
        <v>154</v>
      </c>
      <c r="E50" s="27">
        <v>-1</v>
      </c>
      <c r="F50" s="27">
        <v>9999</v>
      </c>
      <c r="G50" s="27"/>
      <c r="H50" s="27">
        <v>1</v>
      </c>
      <c r="J50" s="2"/>
      <c r="K50" s="2"/>
      <c r="M50" s="43" t="s">
        <v>1026</v>
      </c>
    </row>
    <row r="51" spans="1:15" x14ac:dyDescent="0.15">
      <c r="B51" s="27" t="s">
        <v>97</v>
      </c>
      <c r="C51" s="27" t="s">
        <v>106</v>
      </c>
      <c r="D51" s="27" t="s">
        <v>143</v>
      </c>
      <c r="E51" s="27"/>
      <c r="F51" s="27"/>
      <c r="G51" s="27" t="s">
        <v>186</v>
      </c>
      <c r="H51" s="27">
        <v>-1</v>
      </c>
      <c r="J51" s="2"/>
      <c r="K51" s="2"/>
      <c r="M51" s="43" t="s">
        <v>1027</v>
      </c>
    </row>
    <row r="52" spans="1:15" x14ac:dyDescent="0.15">
      <c r="B52" s="27" t="s">
        <v>94</v>
      </c>
      <c r="C52" s="27" t="s">
        <v>107</v>
      </c>
      <c r="D52" s="27" t="s">
        <v>144</v>
      </c>
      <c r="E52" s="27"/>
      <c r="F52" s="27">
        <v>256</v>
      </c>
      <c r="G52" s="27"/>
      <c r="H52" s="27" t="s">
        <v>187</v>
      </c>
      <c r="J52" s="2"/>
      <c r="K52" s="2"/>
      <c r="M52" s="43" t="s">
        <v>1028</v>
      </c>
    </row>
    <row r="53" spans="1:15" x14ac:dyDescent="0.15">
      <c r="B53" s="27" t="s">
        <v>97</v>
      </c>
      <c r="C53" s="27" t="s">
        <v>155</v>
      </c>
      <c r="D53" s="27" t="s">
        <v>145</v>
      </c>
      <c r="E53" s="27"/>
      <c r="F53" s="27"/>
      <c r="G53" s="27" t="s">
        <v>170</v>
      </c>
      <c r="H53" s="27">
        <v>0</v>
      </c>
      <c r="J53" s="2"/>
      <c r="K53" s="2"/>
      <c r="M53" s="43" t="s">
        <v>1259</v>
      </c>
    </row>
    <row r="54" spans="1:15" x14ac:dyDescent="0.15">
      <c r="B54" s="27" t="s">
        <v>95</v>
      </c>
      <c r="C54" s="27" t="s">
        <v>156</v>
      </c>
      <c r="D54" s="27" t="s">
        <v>146</v>
      </c>
      <c r="E54" s="27">
        <v>0</v>
      </c>
      <c r="F54" s="27">
        <v>9999</v>
      </c>
      <c r="G54" s="27"/>
      <c r="H54" s="27">
        <v>0</v>
      </c>
      <c r="J54" s="2"/>
      <c r="K54" s="2"/>
      <c r="M54" s="43" t="s">
        <v>1029</v>
      </c>
    </row>
    <row r="55" spans="1:15" x14ac:dyDescent="0.15">
      <c r="B55" s="27" t="s">
        <v>97</v>
      </c>
      <c r="C55" s="27" t="s">
        <v>157</v>
      </c>
      <c r="D55" s="27" t="s">
        <v>147</v>
      </c>
      <c r="E55" s="27"/>
      <c r="F55" s="27"/>
      <c r="G55" s="27" t="s">
        <v>138</v>
      </c>
      <c r="H55" s="27">
        <v>-1</v>
      </c>
      <c r="J55" s="2"/>
      <c r="K55" s="2"/>
      <c r="M55" s="43" t="s">
        <v>1030</v>
      </c>
    </row>
    <row r="56" spans="1:15" x14ac:dyDescent="0.15">
      <c r="B56" s="27" t="s">
        <v>95</v>
      </c>
      <c r="C56" s="27" t="s">
        <v>158</v>
      </c>
      <c r="D56" s="27" t="s">
        <v>148</v>
      </c>
      <c r="E56" s="27">
        <v>0</v>
      </c>
      <c r="F56" s="27">
        <v>999999999</v>
      </c>
      <c r="G56" s="27"/>
      <c r="H56" s="27">
        <v>0</v>
      </c>
      <c r="J56" s="2"/>
      <c r="K56" s="2"/>
      <c r="M56" s="43" t="s">
        <v>1031</v>
      </c>
    </row>
    <row r="57" spans="1:15" x14ac:dyDescent="0.15">
      <c r="B57" s="27" t="s">
        <v>95</v>
      </c>
      <c r="C57" s="27" t="s">
        <v>159</v>
      </c>
      <c r="D57" s="27" t="s">
        <v>149</v>
      </c>
      <c r="E57" s="27">
        <v>-1</v>
      </c>
      <c r="F57" s="27">
        <v>999999999</v>
      </c>
      <c r="G57" s="27"/>
      <c r="H57" s="27">
        <v>-1</v>
      </c>
      <c r="J57" s="2"/>
      <c r="K57" s="2"/>
      <c r="M57" s="43" t="s">
        <v>1032</v>
      </c>
    </row>
    <row r="58" spans="1:15" ht="14.25" x14ac:dyDescent="0.15">
      <c r="B58" s="27" t="s">
        <v>95</v>
      </c>
      <c r="C58" s="27" t="s">
        <v>160</v>
      </c>
      <c r="D58" s="27" t="s">
        <v>150</v>
      </c>
      <c r="E58" s="27">
        <v>-1</v>
      </c>
      <c r="F58" s="27">
        <v>999999999</v>
      </c>
      <c r="G58" s="27"/>
      <c r="H58" s="27">
        <v>-1</v>
      </c>
      <c r="J58" s="2"/>
      <c r="K58" s="2"/>
      <c r="M58" s="43" t="s">
        <v>1266</v>
      </c>
    </row>
    <row r="59" spans="1:15" ht="14.25" x14ac:dyDescent="0.15">
      <c r="B59" s="27" t="s">
        <v>95</v>
      </c>
      <c r="C59" s="27" t="s">
        <v>161</v>
      </c>
      <c r="D59" s="27" t="s">
        <v>151</v>
      </c>
      <c r="E59" s="27">
        <v>-1</v>
      </c>
      <c r="F59" s="27">
        <v>999999999</v>
      </c>
      <c r="G59" s="27"/>
      <c r="H59" s="27">
        <v>-1</v>
      </c>
      <c r="J59" s="2"/>
      <c r="K59" s="2"/>
      <c r="M59" s="43" t="s">
        <v>1033</v>
      </c>
    </row>
    <row r="60" spans="1:15" ht="14.25" x14ac:dyDescent="0.15">
      <c r="B60" s="27" t="s">
        <v>95</v>
      </c>
      <c r="C60" s="27" t="s">
        <v>162</v>
      </c>
      <c r="D60" s="27" t="s">
        <v>152</v>
      </c>
      <c r="E60" s="27">
        <v>-1</v>
      </c>
      <c r="F60" s="27">
        <v>999999999</v>
      </c>
      <c r="G60" s="27"/>
      <c r="H60" s="27">
        <v>-1</v>
      </c>
      <c r="J60" s="2"/>
      <c r="K60" s="2"/>
      <c r="M60" s="43" t="s">
        <v>1034</v>
      </c>
    </row>
    <row r="61" spans="1:15" ht="14.25" x14ac:dyDescent="0.15">
      <c r="B61" s="27" t="s">
        <v>95</v>
      </c>
      <c r="C61" s="27" t="s">
        <v>163</v>
      </c>
      <c r="D61" s="27" t="s">
        <v>153</v>
      </c>
      <c r="E61" s="27">
        <v>-1</v>
      </c>
      <c r="F61" s="27">
        <v>999999999</v>
      </c>
      <c r="G61" s="27"/>
      <c r="H61" s="27">
        <v>-1</v>
      </c>
      <c r="M61" s="43" t="s">
        <v>1267</v>
      </c>
    </row>
    <row r="62" spans="1:15" x14ac:dyDescent="0.15">
      <c r="M62" s="43" t="s">
        <v>1035</v>
      </c>
    </row>
    <row r="63" spans="1:15" x14ac:dyDescent="0.15">
      <c r="A63" s="41" t="s">
        <v>892</v>
      </c>
      <c r="B63" s="29" t="s">
        <v>290</v>
      </c>
      <c r="C63" s="29" t="s">
        <v>257</v>
      </c>
      <c r="M63" s="43" t="s">
        <v>1036</v>
      </c>
    </row>
    <row r="64" spans="1:15" x14ac:dyDescent="0.15">
      <c r="B64" s="29" t="s">
        <v>253</v>
      </c>
      <c r="C64" s="29" t="s">
        <v>255</v>
      </c>
      <c r="D64" s="29" t="s">
        <v>254</v>
      </c>
      <c r="E64" s="29">
        <v>0</v>
      </c>
      <c r="F64" s="29">
        <v>99999999</v>
      </c>
      <c r="G64" s="29"/>
      <c r="H64" s="29">
        <v>1</v>
      </c>
      <c r="M64" s="43" t="s">
        <v>1268</v>
      </c>
    </row>
    <row r="65" spans="2:13" x14ac:dyDescent="0.15">
      <c r="B65" s="29" t="s">
        <v>256</v>
      </c>
      <c r="C65" s="29" t="s">
        <v>102</v>
      </c>
      <c r="D65" s="29" t="s">
        <v>258</v>
      </c>
      <c r="E65" s="29"/>
      <c r="F65" s="29">
        <v>16</v>
      </c>
      <c r="G65" s="29"/>
      <c r="H65" s="29" t="s">
        <v>422</v>
      </c>
      <c r="M65" s="43" t="s">
        <v>1269</v>
      </c>
    </row>
    <row r="66" spans="2:13" s="41" customFormat="1" x14ac:dyDescent="0.15">
      <c r="B66" s="26" t="s">
        <v>94</v>
      </c>
      <c r="C66" s="29" t="s">
        <v>103</v>
      </c>
      <c r="D66" s="29" t="s">
        <v>769</v>
      </c>
      <c r="E66" s="29"/>
      <c r="F66" s="29">
        <v>32</v>
      </c>
      <c r="G66" s="29"/>
      <c r="H66" s="29" t="s">
        <v>772</v>
      </c>
      <c r="M66" s="43" t="s">
        <v>1037</v>
      </c>
    </row>
    <row r="67" spans="2:13" s="41" customFormat="1" x14ac:dyDescent="0.15">
      <c r="B67" s="26" t="s">
        <v>98</v>
      </c>
      <c r="C67" s="29" t="s">
        <v>104</v>
      </c>
      <c r="D67" s="29" t="s">
        <v>770</v>
      </c>
      <c r="E67" s="29"/>
      <c r="F67" s="29"/>
      <c r="G67" s="29" t="s">
        <v>773</v>
      </c>
      <c r="H67" s="26">
        <v>1</v>
      </c>
      <c r="M67" s="43" t="s">
        <v>1038</v>
      </c>
    </row>
    <row r="68" spans="2:13" s="41" customFormat="1" x14ac:dyDescent="0.15">
      <c r="B68" s="29" t="s">
        <v>887</v>
      </c>
      <c r="C68" s="29" t="s">
        <v>105</v>
      </c>
      <c r="D68" s="29" t="s">
        <v>886</v>
      </c>
      <c r="E68" s="41">
        <v>-1</v>
      </c>
      <c r="F68" s="29">
        <v>99999999</v>
      </c>
      <c r="H68" s="41">
        <v>-1</v>
      </c>
      <c r="M68" s="43" t="s">
        <v>1039</v>
      </c>
    </row>
    <row r="69" spans="2:13" s="41" customFormat="1" x14ac:dyDescent="0.15">
      <c r="B69" s="26" t="s">
        <v>98</v>
      </c>
      <c r="C69" s="29" t="s">
        <v>106</v>
      </c>
      <c r="D69" s="29" t="s">
        <v>771</v>
      </c>
      <c r="E69" s="29"/>
      <c r="F69" s="29"/>
      <c r="G69" s="29" t="s">
        <v>774</v>
      </c>
      <c r="H69" s="26">
        <v>-1</v>
      </c>
      <c r="M69" s="43" t="s">
        <v>1040</v>
      </c>
    </row>
    <row r="70" spans="2:13" s="41" customFormat="1" x14ac:dyDescent="0.15">
      <c r="B70" s="26" t="s">
        <v>896</v>
      </c>
      <c r="C70" s="29" t="s">
        <v>900</v>
      </c>
      <c r="D70" s="29" t="s">
        <v>899</v>
      </c>
      <c r="E70" s="29"/>
      <c r="F70" s="29"/>
      <c r="G70" s="29" t="s">
        <v>901</v>
      </c>
      <c r="H70" s="26">
        <v>1</v>
      </c>
      <c r="M70" s="43" t="s">
        <v>1041</v>
      </c>
    </row>
    <row r="71" spans="2:13" x14ac:dyDescent="0.15">
      <c r="B71" s="29" t="s">
        <v>253</v>
      </c>
      <c r="C71" s="29" t="s">
        <v>155</v>
      </c>
      <c r="D71" s="29" t="s">
        <v>259</v>
      </c>
      <c r="E71" s="29">
        <v>0</v>
      </c>
      <c r="F71" s="29">
        <v>99999999</v>
      </c>
      <c r="G71" s="29"/>
      <c r="H71" s="29">
        <v>1</v>
      </c>
      <c r="M71" s="43" t="s">
        <v>1042</v>
      </c>
    </row>
    <row r="72" spans="2:13" x14ac:dyDescent="0.15">
      <c r="B72" s="29" t="s">
        <v>253</v>
      </c>
      <c r="C72" s="29" t="s">
        <v>156</v>
      </c>
      <c r="D72" s="29" t="s">
        <v>260</v>
      </c>
      <c r="E72" s="29">
        <v>0</v>
      </c>
      <c r="F72" s="29">
        <v>99999999</v>
      </c>
      <c r="G72" s="29"/>
      <c r="H72" s="29">
        <v>1</v>
      </c>
      <c r="M72" s="43" t="s">
        <v>1043</v>
      </c>
    </row>
    <row r="73" spans="2:13" x14ac:dyDescent="0.15">
      <c r="B73" s="29" t="s">
        <v>253</v>
      </c>
      <c r="C73" s="29" t="s">
        <v>157</v>
      </c>
      <c r="D73" s="29" t="s">
        <v>261</v>
      </c>
      <c r="E73" s="29">
        <v>0</v>
      </c>
      <c r="F73" s="29">
        <v>99999999</v>
      </c>
      <c r="G73" s="29"/>
      <c r="H73" s="29">
        <v>1</v>
      </c>
      <c r="M73" s="43" t="s">
        <v>1044</v>
      </c>
    </row>
    <row r="74" spans="2:13" x14ac:dyDescent="0.15">
      <c r="B74" s="29" t="s">
        <v>253</v>
      </c>
      <c r="C74" s="29" t="s">
        <v>158</v>
      </c>
      <c r="D74" s="29" t="s">
        <v>262</v>
      </c>
      <c r="E74" s="29">
        <v>0</v>
      </c>
      <c r="F74" s="29">
        <v>99999999</v>
      </c>
      <c r="G74" s="29"/>
      <c r="H74" s="29">
        <v>1</v>
      </c>
      <c r="M74" s="43" t="s">
        <v>1045</v>
      </c>
    </row>
    <row r="75" spans="2:13" x14ac:dyDescent="0.15">
      <c r="B75" s="29" t="s">
        <v>253</v>
      </c>
      <c r="C75" s="29" t="s">
        <v>159</v>
      </c>
      <c r="D75" s="29" t="s">
        <v>263</v>
      </c>
      <c r="E75" s="29">
        <v>0</v>
      </c>
      <c r="F75" s="29">
        <v>99999999</v>
      </c>
      <c r="G75" s="29"/>
      <c r="H75" s="29">
        <v>1</v>
      </c>
      <c r="M75" s="43" t="s">
        <v>1046</v>
      </c>
    </row>
    <row r="76" spans="2:13" x14ac:dyDescent="0.15">
      <c r="B76" s="29" t="s">
        <v>253</v>
      </c>
      <c r="C76" s="29" t="s">
        <v>160</v>
      </c>
      <c r="D76" s="29" t="s">
        <v>264</v>
      </c>
      <c r="E76" s="29">
        <v>0</v>
      </c>
      <c r="F76" s="29">
        <v>99999999</v>
      </c>
      <c r="G76" s="29"/>
      <c r="H76" s="29">
        <v>1</v>
      </c>
      <c r="M76" s="43" t="s">
        <v>1047</v>
      </c>
    </row>
    <row r="77" spans="2:13" x14ac:dyDescent="0.15">
      <c r="B77" s="29" t="s">
        <v>253</v>
      </c>
      <c r="C77" s="29" t="s">
        <v>161</v>
      </c>
      <c r="D77" s="29" t="s">
        <v>265</v>
      </c>
      <c r="E77" s="29">
        <v>0</v>
      </c>
      <c r="F77" s="29">
        <v>99999999</v>
      </c>
      <c r="G77" s="29"/>
      <c r="H77" s="29">
        <v>1</v>
      </c>
      <c r="M77" s="43" t="s">
        <v>1048</v>
      </c>
    </row>
    <row r="78" spans="2:13" x14ac:dyDescent="0.15">
      <c r="B78" s="29" t="s">
        <v>253</v>
      </c>
      <c r="C78" s="29" t="s">
        <v>162</v>
      </c>
      <c r="D78" s="29" t="s">
        <v>266</v>
      </c>
      <c r="E78" s="29">
        <v>0</v>
      </c>
      <c r="F78" s="29">
        <v>99999999</v>
      </c>
      <c r="G78" s="29"/>
      <c r="H78" s="29">
        <v>1</v>
      </c>
      <c r="M78" s="43" t="s">
        <v>1049</v>
      </c>
    </row>
    <row r="79" spans="2:13" x14ac:dyDescent="0.15">
      <c r="B79" s="29" t="s">
        <v>253</v>
      </c>
      <c r="C79" s="29" t="s">
        <v>163</v>
      </c>
      <c r="D79" s="29" t="s">
        <v>267</v>
      </c>
      <c r="E79" s="29">
        <v>0</v>
      </c>
      <c r="F79" s="29">
        <v>99999999</v>
      </c>
      <c r="G79" s="29"/>
      <c r="H79" s="29">
        <v>1</v>
      </c>
      <c r="M79" s="43" t="s">
        <v>1050</v>
      </c>
    </row>
    <row r="80" spans="2:13" x14ac:dyDescent="0.15">
      <c r="B80" s="29" t="s">
        <v>253</v>
      </c>
      <c r="C80" s="29" t="s">
        <v>280</v>
      </c>
      <c r="D80" s="29" t="s">
        <v>268</v>
      </c>
      <c r="E80" s="29">
        <v>0</v>
      </c>
      <c r="F80" s="29">
        <v>99999999</v>
      </c>
      <c r="G80" s="29"/>
      <c r="H80" s="29">
        <v>1</v>
      </c>
      <c r="M80" s="43" t="s">
        <v>1051</v>
      </c>
    </row>
    <row r="81" spans="1:13" x14ac:dyDescent="0.15">
      <c r="B81" s="29" t="s">
        <v>253</v>
      </c>
      <c r="C81" s="29" t="s">
        <v>281</v>
      </c>
      <c r="D81" s="29" t="s">
        <v>269</v>
      </c>
      <c r="E81" s="29">
        <v>0</v>
      </c>
      <c r="F81" s="29">
        <v>99999999</v>
      </c>
      <c r="G81" s="29"/>
      <c r="H81" s="29">
        <v>1</v>
      </c>
      <c r="M81" s="43" t="s">
        <v>1280</v>
      </c>
    </row>
    <row r="82" spans="1:13" x14ac:dyDescent="0.15">
      <c r="B82" s="29" t="s">
        <v>253</v>
      </c>
      <c r="C82" s="29" t="s">
        <v>282</v>
      </c>
      <c r="D82" s="29" t="s">
        <v>270</v>
      </c>
      <c r="E82" s="29">
        <v>0</v>
      </c>
      <c r="F82" s="29">
        <v>99999999</v>
      </c>
      <c r="G82" s="29"/>
      <c r="H82" s="29">
        <v>1</v>
      </c>
      <c r="M82" s="43" t="s">
        <v>1052</v>
      </c>
    </row>
    <row r="83" spans="1:13" x14ac:dyDescent="0.15">
      <c r="B83" s="29" t="s">
        <v>253</v>
      </c>
      <c r="C83" s="29" t="s">
        <v>283</v>
      </c>
      <c r="D83" s="29" t="s">
        <v>271</v>
      </c>
      <c r="E83" s="29">
        <v>0</v>
      </c>
      <c r="F83" s="29">
        <v>99999999</v>
      </c>
      <c r="G83" s="29"/>
      <c r="H83" s="29">
        <v>1</v>
      </c>
      <c r="M83" s="43" t="s">
        <v>1053</v>
      </c>
    </row>
    <row r="84" spans="1:13" x14ac:dyDescent="0.15">
      <c r="B84" s="29" t="s">
        <v>253</v>
      </c>
      <c r="C84" s="29" t="s">
        <v>284</v>
      </c>
      <c r="D84" s="29" t="s">
        <v>272</v>
      </c>
      <c r="E84" s="29">
        <v>0</v>
      </c>
      <c r="F84" s="29">
        <v>99999999</v>
      </c>
      <c r="G84" s="29"/>
      <c r="H84" s="29">
        <v>1</v>
      </c>
      <c r="M84" s="43" t="s">
        <v>1054</v>
      </c>
    </row>
    <row r="85" spans="1:13" x14ac:dyDescent="0.15">
      <c r="B85" s="29" t="s">
        <v>253</v>
      </c>
      <c r="C85" s="29" t="s">
        <v>285</v>
      </c>
      <c r="D85" s="29" t="s">
        <v>273</v>
      </c>
      <c r="E85" s="29">
        <v>0</v>
      </c>
      <c r="F85" s="29">
        <v>99999999</v>
      </c>
      <c r="G85" s="29"/>
      <c r="H85" s="29">
        <v>1</v>
      </c>
      <c r="M85" s="43" t="s">
        <v>1055</v>
      </c>
    </row>
    <row r="86" spans="1:13" x14ac:dyDescent="0.15">
      <c r="B86" s="29" t="s">
        <v>253</v>
      </c>
      <c r="C86" s="29" t="s">
        <v>286</v>
      </c>
      <c r="D86" s="29" t="s">
        <v>274</v>
      </c>
      <c r="E86" s="29">
        <v>0</v>
      </c>
      <c r="F86" s="29">
        <v>99999999</v>
      </c>
      <c r="G86" s="29"/>
      <c r="H86" s="29">
        <v>1</v>
      </c>
      <c r="M86" s="43" t="s">
        <v>1056</v>
      </c>
    </row>
    <row r="87" spans="1:13" x14ac:dyDescent="0.15">
      <c r="B87" s="29" t="s">
        <v>253</v>
      </c>
      <c r="C87" s="29" t="s">
        <v>287</v>
      </c>
      <c r="D87" s="29" t="s">
        <v>275</v>
      </c>
      <c r="E87" s="29">
        <v>0</v>
      </c>
      <c r="F87" s="29">
        <v>99999999</v>
      </c>
      <c r="G87" s="29"/>
      <c r="H87" s="29">
        <v>1</v>
      </c>
      <c r="M87" s="43" t="s">
        <v>1057</v>
      </c>
    </row>
    <row r="88" spans="1:13" x14ac:dyDescent="0.15">
      <c r="B88" s="29" t="s">
        <v>253</v>
      </c>
      <c r="C88" s="29" t="s">
        <v>393</v>
      </c>
      <c r="D88" s="29" t="s">
        <v>276</v>
      </c>
      <c r="E88" s="29">
        <v>0</v>
      </c>
      <c r="F88" s="29">
        <v>99999999</v>
      </c>
      <c r="G88" s="29"/>
      <c r="H88" s="29">
        <v>1</v>
      </c>
      <c r="M88" s="43" t="s">
        <v>1058</v>
      </c>
    </row>
    <row r="89" spans="1:13" x14ac:dyDescent="0.15">
      <c r="B89" s="29" t="s">
        <v>253</v>
      </c>
      <c r="C89" s="29" t="s">
        <v>394</v>
      </c>
      <c r="D89" s="29" t="s">
        <v>277</v>
      </c>
      <c r="E89" s="29">
        <v>0</v>
      </c>
      <c r="F89" s="29">
        <v>99999999</v>
      </c>
      <c r="G89" s="29"/>
      <c r="H89" s="29">
        <v>1</v>
      </c>
      <c r="M89" s="43" t="s">
        <v>1059</v>
      </c>
    </row>
    <row r="90" spans="1:13" x14ac:dyDescent="0.15">
      <c r="B90" s="29" t="s">
        <v>253</v>
      </c>
      <c r="C90" s="29" t="s">
        <v>395</v>
      </c>
      <c r="D90" s="29" t="s">
        <v>278</v>
      </c>
      <c r="E90" s="29">
        <v>0</v>
      </c>
      <c r="F90" s="29">
        <v>99999999</v>
      </c>
      <c r="G90" s="29"/>
      <c r="H90" s="29">
        <v>1</v>
      </c>
      <c r="M90" s="43" t="s">
        <v>1060</v>
      </c>
    </row>
    <row r="91" spans="1:13" x14ac:dyDescent="0.15">
      <c r="B91" s="29" t="s">
        <v>253</v>
      </c>
      <c r="C91" s="29" t="s">
        <v>438</v>
      </c>
      <c r="D91" s="29" t="s">
        <v>279</v>
      </c>
      <c r="E91" s="29">
        <v>0</v>
      </c>
      <c r="F91" s="29">
        <v>99999999</v>
      </c>
      <c r="G91" s="29"/>
      <c r="H91" s="29">
        <v>1</v>
      </c>
      <c r="M91" s="43" t="s">
        <v>1061</v>
      </c>
    </row>
    <row r="92" spans="1:13" s="33" customFormat="1" x14ac:dyDescent="0.15">
      <c r="B92" s="29" t="s">
        <v>288</v>
      </c>
      <c r="C92" s="29" t="s">
        <v>439</v>
      </c>
      <c r="D92" s="29" t="s">
        <v>885</v>
      </c>
      <c r="E92" s="29"/>
      <c r="F92" s="29"/>
      <c r="G92" s="29" t="s">
        <v>459</v>
      </c>
      <c r="H92" s="29">
        <v>-1</v>
      </c>
      <c r="M92" s="43" t="s">
        <v>1281</v>
      </c>
    </row>
    <row r="93" spans="1:13" s="41" customFormat="1" x14ac:dyDescent="0.15">
      <c r="B93" s="29"/>
      <c r="C93" s="29"/>
      <c r="D93" s="29"/>
      <c r="E93" s="29"/>
      <c r="F93" s="29"/>
      <c r="G93" s="29"/>
      <c r="H93" s="29"/>
      <c r="M93" s="43" t="s">
        <v>1062</v>
      </c>
    </row>
    <row r="94" spans="1:13" s="41" customFormat="1" x14ac:dyDescent="0.15">
      <c r="A94" s="41" t="s">
        <v>815</v>
      </c>
      <c r="B94" s="27" t="s">
        <v>816</v>
      </c>
      <c r="C94" s="27" t="s">
        <v>817</v>
      </c>
      <c r="M94" s="43" t="s">
        <v>1063</v>
      </c>
    </row>
    <row r="95" spans="1:13" s="41" customFormat="1" x14ac:dyDescent="0.15">
      <c r="B95" s="27" t="s">
        <v>858</v>
      </c>
      <c r="C95" s="27" t="s">
        <v>761</v>
      </c>
      <c r="D95" s="41" t="s">
        <v>111</v>
      </c>
      <c r="E95" s="27"/>
      <c r="F95" s="27"/>
      <c r="G95" s="27" t="s">
        <v>859</v>
      </c>
      <c r="H95" s="41">
        <v>-1</v>
      </c>
      <c r="M95" s="43" t="s">
        <v>1064</v>
      </c>
    </row>
    <row r="96" spans="1:13" s="41" customFormat="1" x14ac:dyDescent="0.15">
      <c r="B96" s="27" t="s">
        <v>94</v>
      </c>
      <c r="C96" s="27" t="s">
        <v>102</v>
      </c>
      <c r="D96" s="41" t="s">
        <v>818</v>
      </c>
      <c r="E96" s="27" t="s">
        <v>42</v>
      </c>
      <c r="F96" s="27">
        <v>16</v>
      </c>
      <c r="H96" s="41" t="s">
        <v>819</v>
      </c>
      <c r="M96" s="43" t="s">
        <v>1065</v>
      </c>
    </row>
    <row r="97" spans="2:13" s="41" customFormat="1" x14ac:dyDescent="0.15">
      <c r="B97" s="27" t="s">
        <v>94</v>
      </c>
      <c r="C97" s="27" t="s">
        <v>103</v>
      </c>
      <c r="D97" s="41" t="s">
        <v>820</v>
      </c>
      <c r="E97" s="27" t="s">
        <v>42</v>
      </c>
      <c r="F97" s="27">
        <v>16</v>
      </c>
      <c r="H97" s="41" t="s">
        <v>819</v>
      </c>
      <c r="M97" s="43" t="s">
        <v>1066</v>
      </c>
    </row>
    <row r="98" spans="2:13" s="41" customFormat="1" x14ac:dyDescent="0.15">
      <c r="B98" s="27" t="s">
        <v>98</v>
      </c>
      <c r="C98" s="27" t="s">
        <v>107</v>
      </c>
      <c r="D98" s="41" t="s">
        <v>821</v>
      </c>
      <c r="E98" s="27" t="s">
        <v>42</v>
      </c>
      <c r="F98" s="27" t="s">
        <v>42</v>
      </c>
      <c r="G98" s="27" t="s">
        <v>822</v>
      </c>
      <c r="H98" s="41">
        <v>0</v>
      </c>
      <c r="M98" s="43" t="s">
        <v>1067</v>
      </c>
    </row>
    <row r="99" spans="2:13" s="41" customFormat="1" x14ac:dyDescent="0.15">
      <c r="B99" s="27" t="s">
        <v>98</v>
      </c>
      <c r="C99" s="27" t="s">
        <v>155</v>
      </c>
      <c r="D99" s="41" t="s">
        <v>823</v>
      </c>
      <c r="E99" s="27" t="s">
        <v>42</v>
      </c>
      <c r="F99" s="27" t="s">
        <v>42</v>
      </c>
      <c r="G99" s="27" t="s">
        <v>824</v>
      </c>
      <c r="H99" s="41">
        <v>0</v>
      </c>
      <c r="M99" s="43" t="s">
        <v>1068</v>
      </c>
    </row>
    <row r="100" spans="2:13" s="41" customFormat="1" x14ac:dyDescent="0.15">
      <c r="B100" s="27" t="s">
        <v>94</v>
      </c>
      <c r="C100" s="27" t="s">
        <v>156</v>
      </c>
      <c r="D100" s="41" t="s">
        <v>825</v>
      </c>
      <c r="E100" s="27" t="s">
        <v>42</v>
      </c>
      <c r="F100" s="27">
        <v>16</v>
      </c>
      <c r="H100" s="41" t="s">
        <v>819</v>
      </c>
      <c r="M100" s="43" t="s">
        <v>1069</v>
      </c>
    </row>
    <row r="101" spans="2:13" s="41" customFormat="1" x14ac:dyDescent="0.15">
      <c r="B101" s="27" t="s">
        <v>94</v>
      </c>
      <c r="C101" s="27" t="s">
        <v>159</v>
      </c>
      <c r="D101" s="41" t="s">
        <v>826</v>
      </c>
      <c r="E101" s="27" t="s">
        <v>42</v>
      </c>
      <c r="F101" s="27">
        <v>16</v>
      </c>
      <c r="H101" s="41" t="s">
        <v>819</v>
      </c>
      <c r="M101" s="43" t="s">
        <v>1070</v>
      </c>
    </row>
    <row r="102" spans="2:13" s="41" customFormat="1" x14ac:dyDescent="0.15">
      <c r="B102" s="27" t="s">
        <v>94</v>
      </c>
      <c r="C102" s="27" t="s">
        <v>160</v>
      </c>
      <c r="D102" s="41" t="s">
        <v>827</v>
      </c>
      <c r="E102" s="27" t="s">
        <v>42</v>
      </c>
      <c r="F102" s="27">
        <v>16</v>
      </c>
      <c r="H102" s="41" t="s">
        <v>819</v>
      </c>
      <c r="M102" s="43" t="s">
        <v>1071</v>
      </c>
    </row>
    <row r="103" spans="2:13" s="41" customFormat="1" x14ac:dyDescent="0.15">
      <c r="B103" s="27" t="s">
        <v>94</v>
      </c>
      <c r="C103" s="27" t="s">
        <v>161</v>
      </c>
      <c r="D103" s="41" t="s">
        <v>828</v>
      </c>
      <c r="E103" s="27" t="s">
        <v>42</v>
      </c>
      <c r="F103" s="27">
        <v>16</v>
      </c>
      <c r="H103" s="41" t="s">
        <v>819</v>
      </c>
      <c r="M103" s="43" t="s">
        <v>1072</v>
      </c>
    </row>
    <row r="104" spans="2:13" s="41" customFormat="1" x14ac:dyDescent="0.15">
      <c r="B104" s="27" t="s">
        <v>95</v>
      </c>
      <c r="C104" s="27" t="s">
        <v>162</v>
      </c>
      <c r="D104" s="41" t="s">
        <v>829</v>
      </c>
      <c r="E104" s="27">
        <v>-1</v>
      </c>
      <c r="F104" s="27">
        <v>99999999</v>
      </c>
      <c r="H104" s="41">
        <v>-1</v>
      </c>
      <c r="M104" s="43" t="s">
        <v>1073</v>
      </c>
    </row>
    <row r="105" spans="2:13" s="41" customFormat="1" x14ac:dyDescent="0.15">
      <c r="B105" s="27" t="s">
        <v>96</v>
      </c>
      <c r="C105" s="27" t="s">
        <v>163</v>
      </c>
      <c r="D105" s="41" t="s">
        <v>830</v>
      </c>
      <c r="E105" s="27">
        <v>-1</v>
      </c>
      <c r="F105" s="27">
        <v>99999999</v>
      </c>
      <c r="H105" s="41">
        <v>-1</v>
      </c>
      <c r="M105" s="43" t="s">
        <v>1074</v>
      </c>
    </row>
    <row r="106" spans="2:13" s="41" customFormat="1" x14ac:dyDescent="0.15">
      <c r="B106" s="27" t="s">
        <v>98</v>
      </c>
      <c r="C106" s="27" t="s">
        <v>280</v>
      </c>
      <c r="D106" s="41" t="s">
        <v>831</v>
      </c>
      <c r="E106" s="27" t="s">
        <v>42</v>
      </c>
      <c r="F106" s="27" t="s">
        <v>42</v>
      </c>
      <c r="G106" s="27" t="s">
        <v>832</v>
      </c>
      <c r="H106" s="41">
        <v>0</v>
      </c>
      <c r="M106" s="43" t="s">
        <v>1075</v>
      </c>
    </row>
    <row r="107" spans="2:13" s="41" customFormat="1" x14ac:dyDescent="0.15">
      <c r="B107" s="27" t="s">
        <v>96</v>
      </c>
      <c r="C107" s="27" t="s">
        <v>281</v>
      </c>
      <c r="D107" s="41" t="s">
        <v>833</v>
      </c>
      <c r="E107" s="27">
        <v>-1</v>
      </c>
      <c r="F107" s="27">
        <v>99999999</v>
      </c>
      <c r="H107" s="41">
        <v>-1</v>
      </c>
      <c r="M107" s="43" t="s">
        <v>1076</v>
      </c>
    </row>
    <row r="108" spans="2:13" s="41" customFormat="1" x14ac:dyDescent="0.15">
      <c r="B108" s="27" t="s">
        <v>96</v>
      </c>
      <c r="C108" s="27" t="s">
        <v>282</v>
      </c>
      <c r="D108" s="41" t="s">
        <v>834</v>
      </c>
      <c r="E108" s="27">
        <v>-1</v>
      </c>
      <c r="F108" s="27">
        <v>99999999</v>
      </c>
      <c r="H108" s="41">
        <v>-1</v>
      </c>
      <c r="M108" s="43" t="s">
        <v>1077</v>
      </c>
    </row>
    <row r="109" spans="2:13" s="41" customFormat="1" x14ac:dyDescent="0.15">
      <c r="B109" s="27" t="s">
        <v>96</v>
      </c>
      <c r="C109" s="27" t="s">
        <v>283</v>
      </c>
      <c r="D109" s="41" t="s">
        <v>835</v>
      </c>
      <c r="E109" s="27">
        <v>-1</v>
      </c>
      <c r="F109" s="27">
        <v>99999999</v>
      </c>
      <c r="H109" s="41">
        <v>-1</v>
      </c>
      <c r="M109" s="43" t="s">
        <v>1078</v>
      </c>
    </row>
    <row r="110" spans="2:13" s="41" customFormat="1" x14ac:dyDescent="0.15">
      <c r="B110" s="27" t="s">
        <v>95</v>
      </c>
      <c r="C110" s="27" t="s">
        <v>442</v>
      </c>
      <c r="D110" s="41" t="s">
        <v>836</v>
      </c>
      <c r="E110" s="27">
        <v>-1</v>
      </c>
      <c r="F110" s="27">
        <v>99999999</v>
      </c>
      <c r="G110" s="27"/>
      <c r="H110" s="41">
        <v>-1</v>
      </c>
      <c r="M110" s="43" t="s">
        <v>1079</v>
      </c>
    </row>
    <row r="111" spans="2:13" s="41" customFormat="1" x14ac:dyDescent="0.15">
      <c r="B111" s="27" t="s">
        <v>95</v>
      </c>
      <c r="C111" s="27" t="s">
        <v>443</v>
      </c>
      <c r="D111" s="41" t="s">
        <v>837</v>
      </c>
      <c r="E111" s="27">
        <v>-1</v>
      </c>
      <c r="F111" s="27">
        <v>99999999</v>
      </c>
      <c r="H111" s="41">
        <v>-1</v>
      </c>
      <c r="M111" s="43" t="s">
        <v>1051</v>
      </c>
    </row>
    <row r="112" spans="2:13" s="41" customFormat="1" x14ac:dyDescent="0.15">
      <c r="B112" s="27" t="s">
        <v>98</v>
      </c>
      <c r="C112" s="27" t="s">
        <v>444</v>
      </c>
      <c r="D112" s="41" t="s">
        <v>838</v>
      </c>
      <c r="E112" s="27" t="s">
        <v>42</v>
      </c>
      <c r="F112" s="27" t="s">
        <v>42</v>
      </c>
      <c r="G112" s="27" t="s">
        <v>832</v>
      </c>
      <c r="H112" s="41">
        <v>0</v>
      </c>
      <c r="M112" s="43" t="s">
        <v>1080</v>
      </c>
    </row>
    <row r="113" spans="1:13" s="41" customFormat="1" x14ac:dyDescent="0.15">
      <c r="B113" s="27" t="s">
        <v>95</v>
      </c>
      <c r="C113" s="27" t="s">
        <v>445</v>
      </c>
      <c r="D113" s="41" t="s">
        <v>839</v>
      </c>
      <c r="E113" s="27">
        <v>-1</v>
      </c>
      <c r="F113" s="27">
        <v>99999999</v>
      </c>
      <c r="H113" s="41">
        <v>-1</v>
      </c>
      <c r="M113" s="43" t="s">
        <v>1081</v>
      </c>
    </row>
    <row r="114" spans="1:13" s="41" customFormat="1" x14ac:dyDescent="0.15">
      <c r="B114" s="27" t="s">
        <v>98</v>
      </c>
      <c r="C114" s="27" t="s">
        <v>446</v>
      </c>
      <c r="D114" s="41" t="s">
        <v>840</v>
      </c>
      <c r="E114" s="27" t="s">
        <v>42</v>
      </c>
      <c r="F114" s="27" t="s">
        <v>42</v>
      </c>
      <c r="G114" s="27" t="s">
        <v>832</v>
      </c>
      <c r="H114" s="41">
        <v>0</v>
      </c>
      <c r="M114" s="43" t="s">
        <v>1082</v>
      </c>
    </row>
    <row r="115" spans="1:13" s="41" customFormat="1" x14ac:dyDescent="0.15">
      <c r="B115" s="27" t="s">
        <v>95</v>
      </c>
      <c r="C115" s="27" t="s">
        <v>447</v>
      </c>
      <c r="D115" s="41" t="s">
        <v>841</v>
      </c>
      <c r="E115" s="27">
        <v>-1</v>
      </c>
      <c r="F115" s="27">
        <v>99999999</v>
      </c>
      <c r="H115" s="41">
        <v>-1</v>
      </c>
      <c r="M115" s="43" t="s">
        <v>1083</v>
      </c>
    </row>
    <row r="116" spans="1:13" s="41" customFormat="1" x14ac:dyDescent="0.15">
      <c r="B116" s="27" t="s">
        <v>95</v>
      </c>
      <c r="C116" s="27" t="s">
        <v>448</v>
      </c>
      <c r="D116" s="41" t="s">
        <v>842</v>
      </c>
      <c r="E116" s="27">
        <v>-1</v>
      </c>
      <c r="F116" s="27">
        <v>99999999</v>
      </c>
      <c r="H116" s="41">
        <v>-1</v>
      </c>
      <c r="M116" s="43" t="s">
        <v>1084</v>
      </c>
    </row>
    <row r="117" spans="1:13" s="41" customFormat="1" x14ac:dyDescent="0.15">
      <c r="B117" s="27" t="s">
        <v>98</v>
      </c>
      <c r="C117" s="27" t="s">
        <v>449</v>
      </c>
      <c r="D117" s="41" t="s">
        <v>843</v>
      </c>
      <c r="E117" s="27" t="s">
        <v>42</v>
      </c>
      <c r="F117" s="27" t="s">
        <v>42</v>
      </c>
      <c r="G117" s="27" t="s">
        <v>844</v>
      </c>
      <c r="H117" s="41">
        <v>0</v>
      </c>
      <c r="M117" s="43" t="s">
        <v>1085</v>
      </c>
    </row>
    <row r="118" spans="1:13" s="41" customFormat="1" x14ac:dyDescent="0.15">
      <c r="B118" s="27" t="s">
        <v>95</v>
      </c>
      <c r="C118" s="27" t="s">
        <v>498</v>
      </c>
      <c r="D118" s="41" t="s">
        <v>845</v>
      </c>
      <c r="E118" s="27">
        <v>-1</v>
      </c>
      <c r="F118" s="27">
        <v>99999999</v>
      </c>
      <c r="H118" s="41">
        <v>-1</v>
      </c>
      <c r="M118" s="43" t="s">
        <v>1086</v>
      </c>
    </row>
    <row r="119" spans="1:13" s="41" customFormat="1" x14ac:dyDescent="0.15">
      <c r="B119" s="27" t="s">
        <v>95</v>
      </c>
      <c r="C119" s="27" t="s">
        <v>807</v>
      </c>
      <c r="D119" s="41" t="s">
        <v>846</v>
      </c>
      <c r="E119" s="27">
        <v>-1</v>
      </c>
      <c r="F119" s="27">
        <v>99999999</v>
      </c>
      <c r="H119" s="41">
        <v>-1</v>
      </c>
      <c r="M119" s="43" t="s">
        <v>1087</v>
      </c>
    </row>
    <row r="120" spans="1:13" s="41" customFormat="1" x14ac:dyDescent="0.15">
      <c r="B120" s="27" t="s">
        <v>95</v>
      </c>
      <c r="C120" s="27" t="s">
        <v>808</v>
      </c>
      <c r="D120" s="41" t="s">
        <v>847</v>
      </c>
      <c r="E120" s="27">
        <v>-1</v>
      </c>
      <c r="F120" s="27">
        <v>99999999</v>
      </c>
      <c r="H120" s="41">
        <v>-1</v>
      </c>
      <c r="M120" s="43" t="s">
        <v>1088</v>
      </c>
    </row>
    <row r="121" spans="1:13" s="41" customFormat="1" x14ac:dyDescent="0.15">
      <c r="B121" s="27" t="s">
        <v>95</v>
      </c>
      <c r="C121" s="27" t="s">
        <v>809</v>
      </c>
      <c r="D121" s="41" t="s">
        <v>810</v>
      </c>
      <c r="E121" s="27">
        <v>-1</v>
      </c>
      <c r="F121" s="27">
        <v>99999999</v>
      </c>
      <c r="H121" s="41">
        <v>-1</v>
      </c>
      <c r="M121" s="43" t="s">
        <v>1282</v>
      </c>
    </row>
    <row r="122" spans="1:13" s="41" customFormat="1" x14ac:dyDescent="0.15">
      <c r="B122" s="27" t="s">
        <v>95</v>
      </c>
      <c r="C122" s="27" t="s">
        <v>811</v>
      </c>
      <c r="D122" s="41" t="s">
        <v>812</v>
      </c>
      <c r="E122" s="27">
        <v>-1</v>
      </c>
      <c r="F122" s="27">
        <v>99999999</v>
      </c>
      <c r="H122" s="41">
        <v>-1</v>
      </c>
      <c r="M122" s="43" t="s">
        <v>1089</v>
      </c>
    </row>
    <row r="123" spans="1:13" s="41" customFormat="1" x14ac:dyDescent="0.15">
      <c r="B123" s="27" t="s">
        <v>95</v>
      </c>
      <c r="C123" s="27" t="s">
        <v>813</v>
      </c>
      <c r="D123" s="41" t="s">
        <v>814</v>
      </c>
      <c r="E123" s="27">
        <v>-1</v>
      </c>
      <c r="F123" s="27">
        <v>99999999</v>
      </c>
      <c r="H123" s="41">
        <v>-1</v>
      </c>
      <c r="M123" s="43" t="s">
        <v>1090</v>
      </c>
    </row>
    <row r="124" spans="1:13" s="41" customFormat="1" x14ac:dyDescent="0.15">
      <c r="B124" s="27"/>
      <c r="C124" s="27"/>
      <c r="E124" s="27"/>
      <c r="F124" s="27"/>
      <c r="M124" s="43" t="s">
        <v>1091</v>
      </c>
    </row>
    <row r="125" spans="1:13" x14ac:dyDescent="0.15">
      <c r="A125" s="31" t="s">
        <v>459</v>
      </c>
      <c r="B125" s="29" t="s">
        <v>289</v>
      </c>
      <c r="C125" s="29" t="s">
        <v>291</v>
      </c>
      <c r="D125" s="30"/>
      <c r="E125" s="30"/>
      <c r="F125" s="30"/>
      <c r="G125" s="30"/>
      <c r="H125" s="30"/>
      <c r="M125" s="43" t="s">
        <v>1092</v>
      </c>
    </row>
    <row r="126" spans="1:13" x14ac:dyDescent="0.15">
      <c r="B126" s="29" t="s">
        <v>253</v>
      </c>
      <c r="C126" s="29" t="s">
        <v>255</v>
      </c>
      <c r="D126" s="33" t="s">
        <v>460</v>
      </c>
      <c r="E126" s="29">
        <v>0</v>
      </c>
      <c r="F126" s="29">
        <v>99999999</v>
      </c>
      <c r="G126" s="29"/>
      <c r="H126" s="29">
        <v>1</v>
      </c>
      <c r="M126" s="43" t="s">
        <v>1093</v>
      </c>
    </row>
    <row r="127" spans="1:13" x14ac:dyDescent="0.15">
      <c r="B127" s="29" t="s">
        <v>256</v>
      </c>
      <c r="C127" s="29" t="s">
        <v>102</v>
      </c>
      <c r="D127" s="33" t="s">
        <v>461</v>
      </c>
      <c r="E127" s="29"/>
      <c r="F127" s="29">
        <v>32</v>
      </c>
      <c r="G127" s="29"/>
      <c r="H127" s="29" t="s">
        <v>296</v>
      </c>
      <c r="M127" s="43" t="s">
        <v>1094</v>
      </c>
    </row>
    <row r="128" spans="1:13" x14ac:dyDescent="0.15">
      <c r="B128" s="29" t="s">
        <v>256</v>
      </c>
      <c r="C128" s="29" t="s">
        <v>103</v>
      </c>
      <c r="D128" s="33" t="s">
        <v>462</v>
      </c>
      <c r="E128" s="29"/>
      <c r="F128" s="29">
        <v>32</v>
      </c>
      <c r="G128" s="29"/>
      <c r="H128" s="29" t="s">
        <v>298</v>
      </c>
      <c r="M128" s="43" t="s">
        <v>1095</v>
      </c>
    </row>
    <row r="129" spans="2:13" x14ac:dyDescent="0.15">
      <c r="B129" s="29" t="s">
        <v>288</v>
      </c>
      <c r="C129" s="29" t="s">
        <v>104</v>
      </c>
      <c r="D129" s="33" t="s">
        <v>463</v>
      </c>
      <c r="E129" s="29"/>
      <c r="F129" s="29"/>
      <c r="G129" s="29" t="s">
        <v>458</v>
      </c>
      <c r="H129" s="29">
        <v>-1</v>
      </c>
      <c r="M129" s="43" t="s">
        <v>1096</v>
      </c>
    </row>
    <row r="130" spans="2:13" x14ac:dyDescent="0.15">
      <c r="B130" s="29" t="s">
        <v>253</v>
      </c>
      <c r="C130" s="29" t="s">
        <v>105</v>
      </c>
      <c r="D130" s="33" t="s">
        <v>464</v>
      </c>
      <c r="E130" s="29">
        <v>-1</v>
      </c>
      <c r="F130" s="29">
        <v>99999999</v>
      </c>
      <c r="G130" s="29"/>
      <c r="H130" s="29">
        <v>-1</v>
      </c>
      <c r="M130" s="43" t="s">
        <v>1097</v>
      </c>
    </row>
    <row r="131" spans="2:13" x14ac:dyDescent="0.15">
      <c r="B131" s="29" t="s">
        <v>253</v>
      </c>
      <c r="C131" s="29" t="s">
        <v>106</v>
      </c>
      <c r="D131" s="33" t="s">
        <v>465</v>
      </c>
      <c r="E131" s="29">
        <v>-1</v>
      </c>
      <c r="F131" s="29">
        <v>99999999</v>
      </c>
      <c r="G131" s="29"/>
      <c r="H131" s="29">
        <v>-1</v>
      </c>
      <c r="M131" s="43" t="s">
        <v>1098</v>
      </c>
    </row>
    <row r="132" spans="2:13" x14ac:dyDescent="0.15">
      <c r="B132" s="29" t="s">
        <v>253</v>
      </c>
      <c r="C132" s="29" t="s">
        <v>107</v>
      </c>
      <c r="D132" s="33" t="s">
        <v>466</v>
      </c>
      <c r="E132" s="29">
        <v>-1</v>
      </c>
      <c r="F132" s="29">
        <v>99999999</v>
      </c>
      <c r="G132" s="29"/>
      <c r="H132" s="29">
        <v>-1</v>
      </c>
      <c r="M132" s="43" t="s">
        <v>1099</v>
      </c>
    </row>
    <row r="133" spans="2:13" x14ac:dyDescent="0.15">
      <c r="B133" s="29" t="s">
        <v>294</v>
      </c>
      <c r="C133" s="29" t="s">
        <v>155</v>
      </c>
      <c r="D133" s="33" t="s">
        <v>467</v>
      </c>
      <c r="E133" s="29"/>
      <c r="F133" s="29"/>
      <c r="G133" s="29" t="s">
        <v>299</v>
      </c>
      <c r="H133" s="29">
        <v>0</v>
      </c>
      <c r="M133" s="43" t="s">
        <v>1100</v>
      </c>
    </row>
    <row r="134" spans="2:13" x14ac:dyDescent="0.15">
      <c r="B134" s="29" t="s">
        <v>256</v>
      </c>
      <c r="C134" s="29" t="s">
        <v>156</v>
      </c>
      <c r="D134" s="33" t="s">
        <v>468</v>
      </c>
      <c r="E134" s="29"/>
      <c r="F134" s="29">
        <v>16</v>
      </c>
      <c r="G134" s="29"/>
      <c r="H134" s="29" t="s">
        <v>297</v>
      </c>
      <c r="M134" s="43" t="s">
        <v>1101</v>
      </c>
    </row>
    <row r="135" spans="2:13" x14ac:dyDescent="0.15">
      <c r="B135" s="29" t="s">
        <v>256</v>
      </c>
      <c r="C135" s="29" t="s">
        <v>157</v>
      </c>
      <c r="D135" s="33" t="s">
        <v>469</v>
      </c>
      <c r="E135" s="29"/>
      <c r="F135" s="29">
        <v>16</v>
      </c>
      <c r="G135" s="29"/>
      <c r="H135" s="29" t="s">
        <v>485</v>
      </c>
      <c r="M135" s="43" t="s">
        <v>1102</v>
      </c>
    </row>
    <row r="136" spans="2:13" x14ac:dyDescent="0.15">
      <c r="B136" s="29" t="s">
        <v>253</v>
      </c>
      <c r="C136" s="29" t="s">
        <v>158</v>
      </c>
      <c r="D136" s="33" t="s">
        <v>470</v>
      </c>
      <c r="E136" s="29">
        <v>0</v>
      </c>
      <c r="F136" s="29">
        <v>99999999</v>
      </c>
      <c r="G136" s="29"/>
      <c r="H136" s="29">
        <v>0</v>
      </c>
      <c r="M136" s="43" t="s">
        <v>1103</v>
      </c>
    </row>
    <row r="137" spans="2:13" x14ac:dyDescent="0.15">
      <c r="B137" s="29" t="s">
        <v>253</v>
      </c>
      <c r="C137" s="29" t="s">
        <v>159</v>
      </c>
      <c r="D137" s="33" t="s">
        <v>471</v>
      </c>
      <c r="E137" s="29">
        <v>0</v>
      </c>
      <c r="F137" s="29">
        <v>99999999</v>
      </c>
      <c r="G137" s="29"/>
      <c r="H137" s="29">
        <v>0</v>
      </c>
      <c r="M137" s="43" t="s">
        <v>1104</v>
      </c>
    </row>
    <row r="138" spans="2:13" x14ac:dyDescent="0.15">
      <c r="B138" s="29" t="s">
        <v>294</v>
      </c>
      <c r="C138" s="29" t="s">
        <v>160</v>
      </c>
      <c r="D138" s="33" t="s">
        <v>472</v>
      </c>
      <c r="E138" s="29"/>
      <c r="F138" s="29"/>
      <c r="G138" s="29" t="s">
        <v>380</v>
      </c>
      <c r="H138" s="29">
        <v>-1</v>
      </c>
      <c r="M138" s="43" t="s">
        <v>1051</v>
      </c>
    </row>
    <row r="139" spans="2:13" x14ac:dyDescent="0.15">
      <c r="B139" s="29" t="s">
        <v>253</v>
      </c>
      <c r="C139" s="29" t="s">
        <v>161</v>
      </c>
      <c r="D139" s="33" t="s">
        <v>473</v>
      </c>
      <c r="E139" s="29">
        <v>-1</v>
      </c>
      <c r="F139" s="29">
        <v>99999999</v>
      </c>
      <c r="G139" s="29"/>
      <c r="H139" s="29">
        <v>-1</v>
      </c>
      <c r="M139" s="43" t="s">
        <v>1105</v>
      </c>
    </row>
    <row r="140" spans="2:13" x14ac:dyDescent="0.15">
      <c r="B140" s="29" t="s">
        <v>253</v>
      </c>
      <c r="C140" s="29" t="s">
        <v>162</v>
      </c>
      <c r="D140" s="33" t="s">
        <v>474</v>
      </c>
      <c r="E140" s="29">
        <v>-1</v>
      </c>
      <c r="F140" s="29">
        <v>99999999</v>
      </c>
      <c r="G140" s="29"/>
      <c r="H140" s="29">
        <v>0</v>
      </c>
      <c r="M140" s="43" t="s">
        <v>1106</v>
      </c>
    </row>
    <row r="141" spans="2:13" x14ac:dyDescent="0.15">
      <c r="B141" s="29" t="s">
        <v>294</v>
      </c>
      <c r="C141" s="29" t="s">
        <v>163</v>
      </c>
      <c r="D141" s="33" t="s">
        <v>475</v>
      </c>
      <c r="E141" s="29"/>
      <c r="F141" s="29"/>
      <c r="G141" s="29" t="s">
        <v>392</v>
      </c>
      <c r="H141" s="29">
        <v>0</v>
      </c>
      <c r="M141" s="43" t="s">
        <v>1283</v>
      </c>
    </row>
    <row r="142" spans="2:13" x14ac:dyDescent="0.15">
      <c r="B142" s="29" t="s">
        <v>288</v>
      </c>
      <c r="C142" s="29" t="s">
        <v>280</v>
      </c>
      <c r="D142" s="33" t="s">
        <v>476</v>
      </c>
      <c r="E142" s="29"/>
      <c r="F142" s="29"/>
      <c r="G142" s="29" t="s">
        <v>486</v>
      </c>
      <c r="H142" s="29">
        <v>-1</v>
      </c>
      <c r="M142" s="43" t="s">
        <v>1107</v>
      </c>
    </row>
    <row r="143" spans="2:13" x14ac:dyDescent="0.15">
      <c r="B143" s="29" t="s">
        <v>253</v>
      </c>
      <c r="C143" s="29" t="s">
        <v>281</v>
      </c>
      <c r="D143" s="33" t="s">
        <v>477</v>
      </c>
      <c r="E143" s="29">
        <v>-1</v>
      </c>
      <c r="F143" s="29">
        <v>99999999</v>
      </c>
      <c r="G143" s="29"/>
      <c r="H143" s="29">
        <v>-1</v>
      </c>
      <c r="M143" s="43" t="s">
        <v>1108</v>
      </c>
    </row>
    <row r="144" spans="2:13" x14ac:dyDescent="0.15">
      <c r="B144" s="29" t="s">
        <v>253</v>
      </c>
      <c r="C144" s="29" t="s">
        <v>282</v>
      </c>
      <c r="D144" s="33" t="s">
        <v>478</v>
      </c>
      <c r="E144" s="29">
        <v>-1</v>
      </c>
      <c r="F144" s="29">
        <v>99999999</v>
      </c>
      <c r="G144" s="29"/>
      <c r="H144" s="29">
        <v>-1</v>
      </c>
      <c r="M144" s="43" t="s">
        <v>1109</v>
      </c>
    </row>
    <row r="145" spans="1:13" x14ac:dyDescent="0.15">
      <c r="B145" s="29" t="s">
        <v>253</v>
      </c>
      <c r="C145" s="29" t="s">
        <v>283</v>
      </c>
      <c r="D145" s="33" t="s">
        <v>479</v>
      </c>
      <c r="E145" s="29">
        <v>-1</v>
      </c>
      <c r="F145" s="29">
        <v>99999999</v>
      </c>
      <c r="G145" s="29"/>
      <c r="H145" s="29">
        <v>-1</v>
      </c>
      <c r="M145" s="43" t="s">
        <v>1110</v>
      </c>
    </row>
    <row r="146" spans="1:13" x14ac:dyDescent="0.15">
      <c r="B146" s="29" t="s">
        <v>253</v>
      </c>
      <c r="C146" s="29" t="s">
        <v>284</v>
      </c>
      <c r="D146" s="33" t="s">
        <v>480</v>
      </c>
      <c r="E146" s="29">
        <v>-1</v>
      </c>
      <c r="F146" s="29">
        <v>99999999</v>
      </c>
      <c r="G146" s="29"/>
      <c r="H146" s="29">
        <v>-1</v>
      </c>
      <c r="M146" s="43" t="s">
        <v>1284</v>
      </c>
    </row>
    <row r="147" spans="1:13" x14ac:dyDescent="0.15">
      <c r="B147" s="29" t="s">
        <v>288</v>
      </c>
      <c r="C147" s="29" t="s">
        <v>285</v>
      </c>
      <c r="D147" s="33" t="s">
        <v>481</v>
      </c>
      <c r="E147" s="29"/>
      <c r="F147" s="29"/>
      <c r="G147" s="29" t="s">
        <v>456</v>
      </c>
      <c r="H147" s="29">
        <v>-1</v>
      </c>
      <c r="M147" s="43" t="s">
        <v>1111</v>
      </c>
    </row>
    <row r="148" spans="1:13" s="32" customFormat="1" x14ac:dyDescent="0.15">
      <c r="B148" s="29" t="s">
        <v>288</v>
      </c>
      <c r="C148" s="29" t="s">
        <v>286</v>
      </c>
      <c r="D148" s="33" t="s">
        <v>482</v>
      </c>
      <c r="E148" s="29"/>
      <c r="F148" s="29"/>
      <c r="G148" s="29" t="s">
        <v>456</v>
      </c>
      <c r="H148" s="29">
        <v>-1</v>
      </c>
      <c r="M148" s="43" t="s">
        <v>1112</v>
      </c>
    </row>
    <row r="149" spans="1:13" s="32" customFormat="1" x14ac:dyDescent="0.15">
      <c r="B149" s="29" t="s">
        <v>288</v>
      </c>
      <c r="C149" s="29" t="s">
        <v>287</v>
      </c>
      <c r="D149" s="33" t="s">
        <v>483</v>
      </c>
      <c r="E149" s="29"/>
      <c r="F149" s="29"/>
      <c r="G149" s="29" t="s">
        <v>456</v>
      </c>
      <c r="H149" s="29">
        <v>-1</v>
      </c>
      <c r="M149" s="43" t="s">
        <v>1113</v>
      </c>
    </row>
    <row r="150" spans="1:13" s="32" customFormat="1" x14ac:dyDescent="0.15">
      <c r="B150" s="29" t="s">
        <v>288</v>
      </c>
      <c r="C150" s="29" t="s">
        <v>393</v>
      </c>
      <c r="D150" s="33" t="s">
        <v>484</v>
      </c>
      <c r="E150" s="29"/>
      <c r="F150" s="29"/>
      <c r="G150" s="29" t="s">
        <v>456</v>
      </c>
      <c r="H150" s="29">
        <v>-1</v>
      </c>
      <c r="M150" s="43" t="s">
        <v>1114</v>
      </c>
    </row>
    <row r="151" spans="1:13" x14ac:dyDescent="0.15">
      <c r="M151" s="43" t="s">
        <v>1115</v>
      </c>
    </row>
    <row r="152" spans="1:13" x14ac:dyDescent="0.15">
      <c r="A152" s="31" t="s">
        <v>456</v>
      </c>
      <c r="B152" s="29" t="s">
        <v>295</v>
      </c>
      <c r="C152" s="29" t="s">
        <v>291</v>
      </c>
      <c r="M152" s="43" t="s">
        <v>1116</v>
      </c>
    </row>
    <row r="153" spans="1:13" x14ac:dyDescent="0.15">
      <c r="B153" s="29" t="s">
        <v>253</v>
      </c>
      <c r="C153" s="29" t="s">
        <v>255</v>
      </c>
      <c r="D153" s="29" t="s">
        <v>292</v>
      </c>
      <c r="E153" s="29">
        <v>0</v>
      </c>
      <c r="F153" s="29">
        <v>99999999</v>
      </c>
      <c r="G153" s="29"/>
      <c r="H153" s="29">
        <v>1</v>
      </c>
      <c r="M153" s="43" t="s">
        <v>1117</v>
      </c>
    </row>
    <row r="154" spans="1:13" x14ac:dyDescent="0.15">
      <c r="B154" s="29" t="s">
        <v>256</v>
      </c>
      <c r="C154" s="29" t="s">
        <v>293</v>
      </c>
      <c r="D154" s="29" t="s">
        <v>301</v>
      </c>
      <c r="E154" s="29"/>
      <c r="F154" s="29">
        <v>16</v>
      </c>
      <c r="G154" s="29"/>
      <c r="H154" s="29" t="s">
        <v>302</v>
      </c>
      <c r="M154" s="43" t="s">
        <v>1118</v>
      </c>
    </row>
    <row r="155" spans="1:13" x14ac:dyDescent="0.15">
      <c r="B155" s="29" t="s">
        <v>253</v>
      </c>
      <c r="C155" s="29" t="s">
        <v>103</v>
      </c>
      <c r="D155" s="29" t="s">
        <v>300</v>
      </c>
      <c r="E155" s="29">
        <v>-1</v>
      </c>
      <c r="F155" s="29">
        <v>99999999</v>
      </c>
      <c r="G155" s="29"/>
      <c r="H155" s="29">
        <v>-1</v>
      </c>
      <c r="M155" s="43" t="s">
        <v>1119</v>
      </c>
    </row>
    <row r="156" spans="1:13" s="2" customFormat="1" x14ac:dyDescent="0.15">
      <c r="B156" s="29" t="s">
        <v>253</v>
      </c>
      <c r="C156" s="29" t="s">
        <v>104</v>
      </c>
      <c r="D156" s="29" t="s">
        <v>434</v>
      </c>
      <c r="E156" s="29">
        <v>-1</v>
      </c>
      <c r="F156" s="29">
        <v>99999999</v>
      </c>
      <c r="G156" s="29"/>
      <c r="H156" s="29">
        <v>-1</v>
      </c>
      <c r="M156" s="43" t="s">
        <v>1120</v>
      </c>
    </row>
    <row r="157" spans="1:13" s="2" customFormat="1" x14ac:dyDescent="0.15">
      <c r="B157" s="29" t="s">
        <v>253</v>
      </c>
      <c r="C157" s="29" t="s">
        <v>105</v>
      </c>
      <c r="D157" s="29" t="s">
        <v>435</v>
      </c>
      <c r="E157" s="29">
        <v>-1</v>
      </c>
      <c r="F157" s="29">
        <v>99999999</v>
      </c>
      <c r="G157" s="29"/>
      <c r="H157" s="29">
        <v>-1</v>
      </c>
      <c r="M157" s="43" t="s">
        <v>1121</v>
      </c>
    </row>
    <row r="158" spans="1:13" s="2" customFormat="1" x14ac:dyDescent="0.15">
      <c r="B158" s="29" t="s">
        <v>253</v>
      </c>
      <c r="C158" s="29" t="s">
        <v>106</v>
      </c>
      <c r="D158" s="29" t="s">
        <v>436</v>
      </c>
      <c r="E158" s="29">
        <v>-1</v>
      </c>
      <c r="F158" s="29">
        <v>99999999</v>
      </c>
      <c r="G158" s="29"/>
      <c r="H158" s="29">
        <v>-1</v>
      </c>
      <c r="M158" s="43" t="s">
        <v>1122</v>
      </c>
    </row>
    <row r="159" spans="1:13" s="2" customFormat="1" x14ac:dyDescent="0.15">
      <c r="B159" s="29" t="s">
        <v>253</v>
      </c>
      <c r="C159" s="29" t="s">
        <v>107</v>
      </c>
      <c r="D159" s="29" t="s">
        <v>437</v>
      </c>
      <c r="E159" s="29">
        <v>-1</v>
      </c>
      <c r="F159" s="29">
        <v>99999999</v>
      </c>
      <c r="G159" s="29"/>
      <c r="H159" s="29">
        <v>-1</v>
      </c>
      <c r="M159" s="43" t="s">
        <v>1123</v>
      </c>
    </row>
    <row r="160" spans="1:13" s="31" customFormat="1" x14ac:dyDescent="0.15">
      <c r="B160" s="29" t="s">
        <v>253</v>
      </c>
      <c r="C160" s="29" t="s">
        <v>155</v>
      </c>
      <c r="D160" s="29" t="s">
        <v>455</v>
      </c>
      <c r="E160" s="29">
        <v>-1</v>
      </c>
      <c r="F160" s="29">
        <v>99999999</v>
      </c>
      <c r="G160" s="29"/>
      <c r="H160" s="29">
        <v>-1</v>
      </c>
      <c r="M160" s="43" t="s">
        <v>1124</v>
      </c>
    </row>
    <row r="161" spans="2:13" x14ac:dyDescent="0.15">
      <c r="B161" s="29" t="s">
        <v>288</v>
      </c>
      <c r="C161" s="29" t="s">
        <v>156</v>
      </c>
      <c r="D161" s="29" t="s">
        <v>432</v>
      </c>
      <c r="E161" s="29"/>
      <c r="F161" s="29"/>
      <c r="G161" s="33" t="s">
        <v>457</v>
      </c>
      <c r="H161" s="29">
        <v>-1</v>
      </c>
      <c r="M161" s="43" t="s">
        <v>1125</v>
      </c>
    </row>
    <row r="162" spans="2:13" s="2" customFormat="1" x14ac:dyDescent="0.15">
      <c r="B162" s="29" t="s">
        <v>451</v>
      </c>
      <c r="C162" s="29" t="s">
        <v>157</v>
      </c>
      <c r="D162" s="29" t="s">
        <v>433</v>
      </c>
      <c r="E162" s="29"/>
      <c r="F162" s="29"/>
      <c r="G162" s="29" t="s">
        <v>450</v>
      </c>
      <c r="H162" s="29">
        <v>1</v>
      </c>
      <c r="M162" s="43" t="s">
        <v>1126</v>
      </c>
    </row>
    <row r="163" spans="2:13" x14ac:dyDescent="0.15">
      <c r="B163" s="29" t="s">
        <v>253</v>
      </c>
      <c r="C163" s="29" t="s">
        <v>158</v>
      </c>
      <c r="D163" s="29" t="s">
        <v>5</v>
      </c>
      <c r="E163" s="29">
        <v>-9999999</v>
      </c>
      <c r="F163" s="29">
        <v>9999999</v>
      </c>
      <c r="G163" s="29"/>
      <c r="H163" s="29">
        <v>0</v>
      </c>
      <c r="M163" s="43" t="s">
        <v>1127</v>
      </c>
    </row>
    <row r="164" spans="2:13" x14ac:dyDescent="0.15">
      <c r="B164" s="29" t="s">
        <v>253</v>
      </c>
      <c r="C164" s="29" t="s">
        <v>159</v>
      </c>
      <c r="D164" s="29" t="s">
        <v>6</v>
      </c>
      <c r="E164" s="29">
        <v>-9999999</v>
      </c>
      <c r="F164" s="29">
        <v>9999999</v>
      </c>
      <c r="G164" s="29"/>
      <c r="H164" s="29">
        <v>0</v>
      </c>
      <c r="M164" s="43" t="s">
        <v>1128</v>
      </c>
    </row>
    <row r="165" spans="2:13" x14ac:dyDescent="0.15">
      <c r="B165" s="29" t="s">
        <v>253</v>
      </c>
      <c r="C165" s="29" t="s">
        <v>160</v>
      </c>
      <c r="D165" s="29" t="s">
        <v>7</v>
      </c>
      <c r="E165" s="29">
        <v>-9999999</v>
      </c>
      <c r="F165" s="29">
        <v>9999999</v>
      </c>
      <c r="G165" s="29"/>
      <c r="H165" s="29">
        <v>0</v>
      </c>
      <c r="M165" s="43" t="s">
        <v>1129</v>
      </c>
    </row>
    <row r="166" spans="2:13" x14ac:dyDescent="0.15">
      <c r="B166" s="29" t="s">
        <v>253</v>
      </c>
      <c r="C166" s="29" t="s">
        <v>161</v>
      </c>
      <c r="D166" s="29" t="s">
        <v>8</v>
      </c>
      <c r="E166" s="29">
        <v>-9999999</v>
      </c>
      <c r="F166" s="29">
        <v>9999999</v>
      </c>
      <c r="G166" s="29"/>
      <c r="H166" s="29">
        <v>0</v>
      </c>
      <c r="M166" s="43" t="s">
        <v>1130</v>
      </c>
    </row>
    <row r="167" spans="2:13" x14ac:dyDescent="0.15">
      <c r="B167" s="29" t="s">
        <v>253</v>
      </c>
      <c r="C167" s="29" t="s">
        <v>162</v>
      </c>
      <c r="D167" s="29" t="s">
        <v>9</v>
      </c>
      <c r="E167" s="29">
        <v>-9999999</v>
      </c>
      <c r="F167" s="29">
        <v>9999999</v>
      </c>
      <c r="G167" s="29"/>
      <c r="H167" s="29">
        <v>0</v>
      </c>
      <c r="M167" s="43" t="s">
        <v>1131</v>
      </c>
    </row>
    <row r="168" spans="2:13" x14ac:dyDescent="0.15">
      <c r="B168" s="29" t="s">
        <v>253</v>
      </c>
      <c r="C168" s="29" t="s">
        <v>163</v>
      </c>
      <c r="D168" s="29" t="s">
        <v>10</v>
      </c>
      <c r="E168" s="29">
        <v>-9999999</v>
      </c>
      <c r="F168" s="29">
        <v>9999999</v>
      </c>
      <c r="G168" s="29"/>
      <c r="H168" s="29">
        <v>0</v>
      </c>
      <c r="M168" s="43" t="s">
        <v>1132</v>
      </c>
    </row>
    <row r="169" spans="2:13" x14ac:dyDescent="0.15">
      <c r="B169" s="29" t="s">
        <v>288</v>
      </c>
      <c r="C169" s="29" t="s">
        <v>280</v>
      </c>
      <c r="D169" s="29" t="s">
        <v>432</v>
      </c>
      <c r="E169" s="29"/>
      <c r="F169" s="29"/>
      <c r="G169" s="33" t="s">
        <v>457</v>
      </c>
      <c r="H169" s="29">
        <v>-1</v>
      </c>
      <c r="M169" s="43" t="s">
        <v>1285</v>
      </c>
    </row>
    <row r="170" spans="2:13" x14ac:dyDescent="0.15">
      <c r="B170" s="29" t="s">
        <v>451</v>
      </c>
      <c r="C170" s="29" t="s">
        <v>281</v>
      </c>
      <c r="D170" s="29" t="s">
        <v>433</v>
      </c>
      <c r="E170" s="29"/>
      <c r="F170" s="29"/>
      <c r="G170" s="29" t="s">
        <v>450</v>
      </c>
      <c r="H170" s="29">
        <v>1</v>
      </c>
      <c r="M170" s="43" t="s">
        <v>1133</v>
      </c>
    </row>
    <row r="171" spans="2:13" x14ac:dyDescent="0.15">
      <c r="B171" s="29" t="s">
        <v>253</v>
      </c>
      <c r="C171" s="29" t="s">
        <v>282</v>
      </c>
      <c r="D171" s="29" t="s">
        <v>5</v>
      </c>
      <c r="E171" s="29">
        <v>-9999999</v>
      </c>
      <c r="F171" s="29">
        <v>9999999</v>
      </c>
      <c r="G171" s="29"/>
      <c r="H171" s="29">
        <v>0</v>
      </c>
      <c r="M171" s="43" t="s">
        <v>1134</v>
      </c>
    </row>
    <row r="172" spans="2:13" x14ac:dyDescent="0.15">
      <c r="B172" s="29" t="s">
        <v>253</v>
      </c>
      <c r="C172" s="29" t="s">
        <v>283</v>
      </c>
      <c r="D172" s="29" t="s">
        <v>6</v>
      </c>
      <c r="E172" s="29">
        <v>-9999999</v>
      </c>
      <c r="F172" s="29">
        <v>9999999</v>
      </c>
      <c r="G172" s="29"/>
      <c r="H172" s="29">
        <v>0</v>
      </c>
      <c r="M172" s="43" t="s">
        <v>1135</v>
      </c>
    </row>
    <row r="173" spans="2:13" x14ac:dyDescent="0.15">
      <c r="B173" s="29" t="s">
        <v>253</v>
      </c>
      <c r="C173" s="29" t="s">
        <v>284</v>
      </c>
      <c r="D173" s="29" t="s">
        <v>7</v>
      </c>
      <c r="E173" s="29">
        <v>-9999999</v>
      </c>
      <c r="F173" s="29">
        <v>9999999</v>
      </c>
      <c r="G173" s="29"/>
      <c r="H173" s="29">
        <v>0</v>
      </c>
      <c r="M173" s="43" t="s">
        <v>1136</v>
      </c>
    </row>
    <row r="174" spans="2:13" x14ac:dyDescent="0.15">
      <c r="B174" s="29" t="s">
        <v>253</v>
      </c>
      <c r="C174" s="29" t="s">
        <v>285</v>
      </c>
      <c r="D174" s="29" t="s">
        <v>8</v>
      </c>
      <c r="E174" s="29">
        <v>-9999999</v>
      </c>
      <c r="F174" s="29">
        <v>9999999</v>
      </c>
      <c r="G174" s="29"/>
      <c r="H174" s="29">
        <v>0</v>
      </c>
      <c r="M174" s="43" t="s">
        <v>1137</v>
      </c>
    </row>
    <row r="175" spans="2:13" x14ac:dyDescent="0.15">
      <c r="B175" s="29" t="s">
        <v>253</v>
      </c>
      <c r="C175" s="29" t="s">
        <v>286</v>
      </c>
      <c r="D175" s="29" t="s">
        <v>9</v>
      </c>
      <c r="E175" s="29">
        <v>-9999999</v>
      </c>
      <c r="F175" s="29">
        <v>9999999</v>
      </c>
      <c r="G175" s="29"/>
      <c r="H175" s="29">
        <v>0</v>
      </c>
      <c r="M175" s="43" t="s">
        <v>1138</v>
      </c>
    </row>
    <row r="176" spans="2:13" x14ac:dyDescent="0.15">
      <c r="B176" s="29" t="s">
        <v>253</v>
      </c>
      <c r="C176" s="29" t="s">
        <v>287</v>
      </c>
      <c r="D176" s="29" t="s">
        <v>10</v>
      </c>
      <c r="E176" s="29">
        <v>-9999999</v>
      </c>
      <c r="F176" s="29">
        <v>9999999</v>
      </c>
      <c r="G176" s="29"/>
      <c r="H176" s="29">
        <v>0</v>
      </c>
      <c r="M176" s="43" t="s">
        <v>1139</v>
      </c>
    </row>
    <row r="177" spans="2:13" x14ac:dyDescent="0.15">
      <c r="B177" s="29" t="s">
        <v>288</v>
      </c>
      <c r="C177" s="29" t="s">
        <v>393</v>
      </c>
      <c r="D177" s="29" t="s">
        <v>432</v>
      </c>
      <c r="E177" s="29"/>
      <c r="F177" s="29"/>
      <c r="G177" s="33" t="s">
        <v>457</v>
      </c>
      <c r="H177" s="29">
        <v>-1</v>
      </c>
      <c r="M177" s="43" t="s">
        <v>1140</v>
      </c>
    </row>
    <row r="178" spans="2:13" x14ac:dyDescent="0.15">
      <c r="B178" s="29" t="s">
        <v>451</v>
      </c>
      <c r="C178" s="29" t="s">
        <v>394</v>
      </c>
      <c r="D178" s="29" t="s">
        <v>433</v>
      </c>
      <c r="E178" s="29"/>
      <c r="F178" s="29"/>
      <c r="G178" s="29" t="s">
        <v>450</v>
      </c>
      <c r="H178" s="29">
        <v>1</v>
      </c>
      <c r="M178" s="43" t="s">
        <v>1141</v>
      </c>
    </row>
    <row r="179" spans="2:13" x14ac:dyDescent="0.15">
      <c r="B179" s="29" t="s">
        <v>253</v>
      </c>
      <c r="C179" s="29" t="s">
        <v>395</v>
      </c>
      <c r="D179" s="29" t="s">
        <v>5</v>
      </c>
      <c r="E179" s="29">
        <v>-9999999</v>
      </c>
      <c r="F179" s="29">
        <v>9999999</v>
      </c>
      <c r="G179" s="29"/>
      <c r="H179" s="29">
        <v>0</v>
      </c>
      <c r="M179" s="43" t="s">
        <v>1142</v>
      </c>
    </row>
    <row r="180" spans="2:13" x14ac:dyDescent="0.15">
      <c r="B180" s="29" t="s">
        <v>253</v>
      </c>
      <c r="C180" s="29" t="s">
        <v>438</v>
      </c>
      <c r="D180" s="29" t="s">
        <v>6</v>
      </c>
      <c r="E180" s="29">
        <v>-9999999</v>
      </c>
      <c r="F180" s="29">
        <v>9999999</v>
      </c>
      <c r="G180" s="29"/>
      <c r="H180" s="29">
        <v>0</v>
      </c>
      <c r="M180" s="43" t="s">
        <v>1051</v>
      </c>
    </row>
    <row r="181" spans="2:13" x14ac:dyDescent="0.15">
      <c r="B181" s="29" t="s">
        <v>253</v>
      </c>
      <c r="C181" s="29" t="s">
        <v>439</v>
      </c>
      <c r="D181" s="29" t="s">
        <v>7</v>
      </c>
      <c r="E181" s="29">
        <v>-9999999</v>
      </c>
      <c r="F181" s="29">
        <v>9999999</v>
      </c>
      <c r="G181" s="29"/>
      <c r="H181" s="29">
        <v>0</v>
      </c>
      <c r="M181" s="43" t="s">
        <v>1143</v>
      </c>
    </row>
    <row r="182" spans="2:13" x14ac:dyDescent="0.15">
      <c r="B182" s="29" t="s">
        <v>253</v>
      </c>
      <c r="C182" s="29" t="s">
        <v>440</v>
      </c>
      <c r="D182" s="29" t="s">
        <v>8</v>
      </c>
      <c r="E182" s="29">
        <v>-9999999</v>
      </c>
      <c r="F182" s="29">
        <v>9999999</v>
      </c>
      <c r="G182" s="29"/>
      <c r="H182" s="29">
        <v>0</v>
      </c>
      <c r="M182" s="43" t="s">
        <v>1144</v>
      </c>
    </row>
    <row r="183" spans="2:13" x14ac:dyDescent="0.15">
      <c r="B183" s="29" t="s">
        <v>253</v>
      </c>
      <c r="C183" s="29" t="s">
        <v>441</v>
      </c>
      <c r="D183" s="29" t="s">
        <v>9</v>
      </c>
      <c r="E183" s="29">
        <v>-9999999</v>
      </c>
      <c r="F183" s="29">
        <v>9999999</v>
      </c>
      <c r="G183" s="29"/>
      <c r="H183" s="29">
        <v>0</v>
      </c>
      <c r="M183" s="43" t="s">
        <v>1145</v>
      </c>
    </row>
    <row r="184" spans="2:13" x14ac:dyDescent="0.15">
      <c r="B184" s="29" t="s">
        <v>253</v>
      </c>
      <c r="C184" s="29" t="s">
        <v>442</v>
      </c>
      <c r="D184" s="29" t="s">
        <v>10</v>
      </c>
      <c r="E184" s="29">
        <v>-9999999</v>
      </c>
      <c r="F184" s="29">
        <v>9999999</v>
      </c>
      <c r="G184" s="29"/>
      <c r="H184" s="29">
        <v>0</v>
      </c>
      <c r="M184" s="43" t="s">
        <v>1146</v>
      </c>
    </row>
    <row r="185" spans="2:13" x14ac:dyDescent="0.15">
      <c r="B185" s="29" t="s">
        <v>288</v>
      </c>
      <c r="C185" s="29" t="s">
        <v>443</v>
      </c>
      <c r="D185" s="29" t="s">
        <v>432</v>
      </c>
      <c r="E185" s="29"/>
      <c r="F185" s="29"/>
      <c r="G185" s="33" t="s">
        <v>457</v>
      </c>
      <c r="H185" s="29">
        <v>-1</v>
      </c>
      <c r="M185" s="43" t="s">
        <v>1147</v>
      </c>
    </row>
    <row r="186" spans="2:13" s="2" customFormat="1" x14ac:dyDescent="0.15">
      <c r="B186" s="29" t="s">
        <v>451</v>
      </c>
      <c r="C186" s="29" t="s">
        <v>444</v>
      </c>
      <c r="D186" s="29" t="s">
        <v>433</v>
      </c>
      <c r="E186" s="29"/>
      <c r="F186" s="29"/>
      <c r="G186" s="29" t="s">
        <v>450</v>
      </c>
      <c r="H186" s="29">
        <v>1</v>
      </c>
      <c r="M186" s="43" t="s">
        <v>1148</v>
      </c>
    </row>
    <row r="187" spans="2:13" s="2" customFormat="1" x14ac:dyDescent="0.15">
      <c r="B187" s="29" t="s">
        <v>253</v>
      </c>
      <c r="C187" s="29" t="s">
        <v>445</v>
      </c>
      <c r="D187" s="29" t="s">
        <v>5</v>
      </c>
      <c r="E187" s="29">
        <v>-9999999</v>
      </c>
      <c r="F187" s="29">
        <v>9999999</v>
      </c>
      <c r="G187" s="29"/>
      <c r="H187" s="29">
        <v>0</v>
      </c>
      <c r="M187" s="43" t="s">
        <v>1149</v>
      </c>
    </row>
    <row r="188" spans="2:13" s="2" customFormat="1" x14ac:dyDescent="0.15">
      <c r="B188" s="29" t="s">
        <v>253</v>
      </c>
      <c r="C188" s="29" t="s">
        <v>446</v>
      </c>
      <c r="D188" s="29" t="s">
        <v>6</v>
      </c>
      <c r="E188" s="29">
        <v>-9999999</v>
      </c>
      <c r="F188" s="29">
        <v>9999999</v>
      </c>
      <c r="G188" s="29"/>
      <c r="H188" s="29">
        <v>0</v>
      </c>
      <c r="M188" s="43" t="s">
        <v>1150</v>
      </c>
    </row>
    <row r="189" spans="2:13" s="2" customFormat="1" x14ac:dyDescent="0.15">
      <c r="B189" s="29" t="s">
        <v>253</v>
      </c>
      <c r="C189" s="29" t="s">
        <v>447</v>
      </c>
      <c r="D189" s="29" t="s">
        <v>7</v>
      </c>
      <c r="E189" s="29">
        <v>-9999999</v>
      </c>
      <c r="F189" s="29">
        <v>9999999</v>
      </c>
      <c r="G189" s="29"/>
      <c r="H189" s="29">
        <v>0</v>
      </c>
      <c r="M189" s="43" t="s">
        <v>1151</v>
      </c>
    </row>
    <row r="190" spans="2:13" s="2" customFormat="1" x14ac:dyDescent="0.15">
      <c r="B190" s="29" t="s">
        <v>253</v>
      </c>
      <c r="C190" s="29" t="s">
        <v>448</v>
      </c>
      <c r="D190" s="29" t="s">
        <v>8</v>
      </c>
      <c r="E190" s="29">
        <v>-9999999</v>
      </c>
      <c r="F190" s="29">
        <v>9999999</v>
      </c>
      <c r="G190" s="29"/>
      <c r="H190" s="29">
        <v>0</v>
      </c>
      <c r="M190" s="43" t="s">
        <v>1051</v>
      </c>
    </row>
    <row r="191" spans="2:13" s="2" customFormat="1" x14ac:dyDescent="0.15">
      <c r="B191" s="29" t="s">
        <v>253</v>
      </c>
      <c r="C191" s="29" t="s">
        <v>449</v>
      </c>
      <c r="D191" s="29" t="s">
        <v>9</v>
      </c>
      <c r="E191" s="29">
        <v>-9999999</v>
      </c>
      <c r="F191" s="29">
        <v>9999999</v>
      </c>
      <c r="G191" s="29"/>
      <c r="H191" s="29">
        <v>0</v>
      </c>
      <c r="M191" s="43" t="s">
        <v>1286</v>
      </c>
    </row>
    <row r="192" spans="2:13" s="2" customFormat="1" x14ac:dyDescent="0.15">
      <c r="B192" s="29" t="s">
        <v>253</v>
      </c>
      <c r="C192" s="29" t="s">
        <v>498</v>
      </c>
      <c r="D192" s="29" t="s">
        <v>10</v>
      </c>
      <c r="E192" s="29">
        <v>-9999999</v>
      </c>
      <c r="F192" s="29">
        <v>9999999</v>
      </c>
      <c r="G192" s="29"/>
      <c r="H192" s="29">
        <v>0</v>
      </c>
      <c r="M192" s="43" t="s">
        <v>1152</v>
      </c>
    </row>
    <row r="193" spans="1:13" s="2" customFormat="1" x14ac:dyDescent="0.15">
      <c r="M193" s="43" t="s">
        <v>1153</v>
      </c>
    </row>
    <row r="194" spans="1:13" x14ac:dyDescent="0.15">
      <c r="A194" s="31" t="s">
        <v>457</v>
      </c>
      <c r="B194" s="29" t="s">
        <v>303</v>
      </c>
      <c r="C194" s="29" t="s">
        <v>291</v>
      </c>
      <c r="M194" s="43" t="s">
        <v>1051</v>
      </c>
    </row>
    <row r="195" spans="1:13" x14ac:dyDescent="0.15">
      <c r="B195" s="29" t="s">
        <v>253</v>
      </c>
      <c r="C195" s="29" t="s">
        <v>255</v>
      </c>
      <c r="D195" s="29" t="s">
        <v>304</v>
      </c>
      <c r="E195" s="29">
        <v>0</v>
      </c>
      <c r="F195" s="29">
        <v>99999999</v>
      </c>
      <c r="G195" s="29"/>
      <c r="H195" s="29">
        <v>1</v>
      </c>
      <c r="M195" s="43" t="s">
        <v>1154</v>
      </c>
    </row>
    <row r="196" spans="1:13" x14ac:dyDescent="0.15">
      <c r="B196" s="29" t="s">
        <v>256</v>
      </c>
      <c r="C196" s="29" t="s">
        <v>293</v>
      </c>
      <c r="D196" s="29" t="s">
        <v>305</v>
      </c>
      <c r="E196" s="29"/>
      <c r="F196" s="29">
        <v>16</v>
      </c>
      <c r="G196" s="29"/>
      <c r="H196" s="26" t="s">
        <v>123</v>
      </c>
      <c r="M196" s="43" t="s">
        <v>1155</v>
      </c>
    </row>
    <row r="197" spans="1:13" x14ac:dyDescent="0.15">
      <c r="B197" s="29" t="s">
        <v>256</v>
      </c>
      <c r="C197" s="29" t="s">
        <v>103</v>
      </c>
      <c r="D197" s="29" t="s">
        <v>306</v>
      </c>
      <c r="E197" s="29"/>
      <c r="F197" s="29">
        <v>32</v>
      </c>
      <c r="G197" s="29"/>
      <c r="H197" s="26" t="s">
        <v>123</v>
      </c>
      <c r="M197" s="43" t="s">
        <v>1156</v>
      </c>
    </row>
    <row r="198" spans="1:13" x14ac:dyDescent="0.15">
      <c r="B198" s="29" t="s">
        <v>256</v>
      </c>
      <c r="C198" s="29" t="s">
        <v>104</v>
      </c>
      <c r="D198" s="29" t="s">
        <v>307</v>
      </c>
      <c r="E198" s="29"/>
      <c r="F198" s="29">
        <v>32</v>
      </c>
      <c r="G198" s="29"/>
      <c r="H198" s="26" t="s">
        <v>123</v>
      </c>
      <c r="M198" s="43" t="s">
        <v>1157</v>
      </c>
    </row>
    <row r="199" spans="1:13" x14ac:dyDescent="0.15">
      <c r="B199" s="29" t="s">
        <v>256</v>
      </c>
      <c r="C199" s="29" t="s">
        <v>105</v>
      </c>
      <c r="D199" s="29" t="s">
        <v>308</v>
      </c>
      <c r="E199" s="29"/>
      <c r="F199" s="29">
        <v>32</v>
      </c>
      <c r="G199" s="29"/>
      <c r="H199" s="26" t="s">
        <v>123</v>
      </c>
      <c r="M199" s="43" t="s">
        <v>1287</v>
      </c>
    </row>
    <row r="200" spans="1:13" x14ac:dyDescent="0.15">
      <c r="B200" s="29" t="s">
        <v>256</v>
      </c>
      <c r="C200" s="29" t="s">
        <v>106</v>
      </c>
      <c r="D200" s="29" t="s">
        <v>452</v>
      </c>
      <c r="E200" s="29"/>
      <c r="F200" s="29">
        <v>32</v>
      </c>
      <c r="G200" s="29"/>
      <c r="H200" s="26" t="s">
        <v>123</v>
      </c>
      <c r="M200" s="43" t="s">
        <v>1288</v>
      </c>
    </row>
    <row r="201" spans="1:13" s="2" customFormat="1" x14ac:dyDescent="0.15">
      <c r="B201" s="29" t="s">
        <v>256</v>
      </c>
      <c r="C201" s="29" t="s">
        <v>107</v>
      </c>
      <c r="D201" s="29" t="s">
        <v>453</v>
      </c>
      <c r="E201" s="29"/>
      <c r="F201" s="29">
        <v>32</v>
      </c>
      <c r="G201" s="29"/>
      <c r="H201" s="26" t="s">
        <v>123</v>
      </c>
      <c r="M201" s="43" t="s">
        <v>1158</v>
      </c>
    </row>
    <row r="202" spans="1:13" s="2" customFormat="1" x14ac:dyDescent="0.15">
      <c r="B202" s="29" t="s">
        <v>256</v>
      </c>
      <c r="C202" s="29" t="s">
        <v>155</v>
      </c>
      <c r="D202" s="29" t="s">
        <v>454</v>
      </c>
      <c r="E202" s="29"/>
      <c r="F202" s="29">
        <v>32</v>
      </c>
      <c r="G202" s="29"/>
      <c r="H202" s="26" t="s">
        <v>123</v>
      </c>
      <c r="M202" s="43" t="s">
        <v>1159</v>
      </c>
    </row>
    <row r="203" spans="1:13" x14ac:dyDescent="0.15">
      <c r="M203" s="43" t="s">
        <v>1160</v>
      </c>
    </row>
    <row r="204" spans="1:13" x14ac:dyDescent="0.15">
      <c r="A204" s="29" t="s">
        <v>458</v>
      </c>
      <c r="B204" s="29" t="s">
        <v>381</v>
      </c>
      <c r="C204" s="29" t="s">
        <v>291</v>
      </c>
      <c r="M204" s="43" t="s">
        <v>1161</v>
      </c>
    </row>
    <row r="205" spans="1:13" x14ac:dyDescent="0.15">
      <c r="B205" s="29" t="s">
        <v>253</v>
      </c>
      <c r="C205" s="29" t="s">
        <v>255</v>
      </c>
      <c r="D205" s="29" t="s">
        <v>382</v>
      </c>
      <c r="E205" s="29">
        <v>0</v>
      </c>
      <c r="F205" s="29">
        <v>99999999</v>
      </c>
      <c r="G205" s="29"/>
      <c r="H205" s="29">
        <v>1</v>
      </c>
      <c r="M205" s="43" t="s">
        <v>1162</v>
      </c>
    </row>
    <row r="206" spans="1:13" x14ac:dyDescent="0.15">
      <c r="B206" s="29" t="s">
        <v>256</v>
      </c>
      <c r="C206" s="29" t="s">
        <v>293</v>
      </c>
      <c r="D206" s="29" t="s">
        <v>383</v>
      </c>
      <c r="E206" s="29"/>
      <c r="F206" s="29">
        <v>16</v>
      </c>
      <c r="G206" s="29"/>
      <c r="H206" s="26" t="s">
        <v>123</v>
      </c>
      <c r="M206" s="43" t="s">
        <v>1289</v>
      </c>
    </row>
    <row r="207" spans="1:13" x14ac:dyDescent="0.15">
      <c r="M207" s="43" t="s">
        <v>1163</v>
      </c>
    </row>
    <row r="208" spans="1:13" x14ac:dyDescent="0.15">
      <c r="A208" s="33" t="s">
        <v>501</v>
      </c>
      <c r="B208" s="29" t="s">
        <v>502</v>
      </c>
      <c r="C208" s="29" t="s">
        <v>503</v>
      </c>
      <c r="M208" s="43" t="s">
        <v>1164</v>
      </c>
    </row>
    <row r="209" spans="2:13" x14ac:dyDescent="0.15">
      <c r="B209" s="29" t="s">
        <v>164</v>
      </c>
      <c r="C209" s="29" t="s">
        <v>506</v>
      </c>
      <c r="D209" s="29" t="s">
        <v>533</v>
      </c>
      <c r="E209" s="29">
        <v>0</v>
      </c>
      <c r="F209" s="29">
        <v>99999999</v>
      </c>
      <c r="G209" s="29"/>
      <c r="H209" s="29">
        <v>1</v>
      </c>
      <c r="M209" s="43" t="s">
        <v>1165</v>
      </c>
    </row>
    <row r="210" spans="2:13" x14ac:dyDescent="0.15">
      <c r="B210" s="29" t="s">
        <v>164</v>
      </c>
      <c r="C210" s="29" t="s">
        <v>510</v>
      </c>
      <c r="D210" s="29" t="s">
        <v>509</v>
      </c>
      <c r="E210" s="29">
        <v>0</v>
      </c>
      <c r="F210" s="29">
        <v>99999999</v>
      </c>
      <c r="G210" s="29"/>
      <c r="H210" s="29">
        <v>0</v>
      </c>
      <c r="M210" s="43" t="s">
        <v>1166</v>
      </c>
    </row>
    <row r="211" spans="2:13" x14ac:dyDescent="0.15">
      <c r="B211" s="29" t="s">
        <v>534</v>
      </c>
      <c r="C211" s="29" t="s">
        <v>535</v>
      </c>
      <c r="D211" s="29" t="s">
        <v>504</v>
      </c>
      <c r="E211" s="29">
        <v>0</v>
      </c>
      <c r="F211" s="29">
        <v>99999999</v>
      </c>
      <c r="G211" s="29"/>
      <c r="H211" s="29">
        <v>1</v>
      </c>
      <c r="M211" s="43" t="s">
        <v>1167</v>
      </c>
    </row>
    <row r="212" spans="2:13" x14ac:dyDescent="0.15">
      <c r="B212" s="29" t="s">
        <v>256</v>
      </c>
      <c r="C212" s="29" t="s">
        <v>507</v>
      </c>
      <c r="D212" s="29" t="s">
        <v>505</v>
      </c>
      <c r="E212" s="29"/>
      <c r="F212" s="29">
        <v>16</v>
      </c>
      <c r="G212" s="29"/>
      <c r="H212" s="29" t="s">
        <v>508</v>
      </c>
      <c r="M212" s="43" t="s">
        <v>1168</v>
      </c>
    </row>
    <row r="213" spans="2:13" x14ac:dyDescent="0.15">
      <c r="B213" s="29" t="s">
        <v>164</v>
      </c>
      <c r="C213" s="29" t="s">
        <v>103</v>
      </c>
      <c r="D213" s="29" t="s">
        <v>260</v>
      </c>
      <c r="E213" s="29">
        <v>0</v>
      </c>
      <c r="F213" s="29">
        <v>99999999</v>
      </c>
      <c r="G213" s="29"/>
      <c r="H213" s="29">
        <v>0</v>
      </c>
      <c r="M213" s="43" t="s">
        <v>1290</v>
      </c>
    </row>
    <row r="214" spans="2:13" x14ac:dyDescent="0.15">
      <c r="B214" s="29" t="s">
        <v>164</v>
      </c>
      <c r="C214" s="29" t="s">
        <v>104</v>
      </c>
      <c r="D214" s="29" t="s">
        <v>261</v>
      </c>
      <c r="E214" s="29">
        <v>0</v>
      </c>
      <c r="F214" s="29">
        <v>99999999</v>
      </c>
      <c r="G214" s="29"/>
      <c r="H214" s="29">
        <v>0</v>
      </c>
      <c r="M214" s="43" t="s">
        <v>1169</v>
      </c>
    </row>
    <row r="215" spans="2:13" x14ac:dyDescent="0.15">
      <c r="B215" s="29" t="s">
        <v>164</v>
      </c>
      <c r="C215" s="29" t="s">
        <v>105</v>
      </c>
      <c r="D215" s="29" t="s">
        <v>262</v>
      </c>
      <c r="E215" s="29">
        <v>0</v>
      </c>
      <c r="F215" s="29">
        <v>99999999</v>
      </c>
      <c r="G215" s="29"/>
      <c r="H215" s="29">
        <v>0</v>
      </c>
      <c r="M215" s="43" t="s">
        <v>1170</v>
      </c>
    </row>
    <row r="216" spans="2:13" x14ac:dyDescent="0.15">
      <c r="B216" s="29" t="s">
        <v>164</v>
      </c>
      <c r="C216" s="29" t="s">
        <v>106</v>
      </c>
      <c r="D216" s="29" t="s">
        <v>263</v>
      </c>
      <c r="E216" s="29">
        <v>0</v>
      </c>
      <c r="F216" s="29">
        <v>99999999</v>
      </c>
      <c r="G216" s="29"/>
      <c r="H216" s="29">
        <v>0</v>
      </c>
      <c r="M216" s="43" t="s">
        <v>1291</v>
      </c>
    </row>
    <row r="217" spans="2:13" x14ac:dyDescent="0.15">
      <c r="B217" s="29" t="s">
        <v>164</v>
      </c>
      <c r="C217" s="29" t="s">
        <v>107</v>
      </c>
      <c r="D217" s="29" t="s">
        <v>264</v>
      </c>
      <c r="E217" s="29">
        <v>0</v>
      </c>
      <c r="F217" s="29">
        <v>99999999</v>
      </c>
      <c r="G217" s="29"/>
      <c r="H217" s="29">
        <v>0</v>
      </c>
      <c r="M217" s="43" t="s">
        <v>1171</v>
      </c>
    </row>
    <row r="218" spans="2:13" x14ac:dyDescent="0.15">
      <c r="B218" s="29" t="s">
        <v>164</v>
      </c>
      <c r="C218" s="29" t="s">
        <v>155</v>
      </c>
      <c r="D218" s="29" t="s">
        <v>265</v>
      </c>
      <c r="E218" s="29">
        <v>0</v>
      </c>
      <c r="F218" s="29">
        <v>99999999</v>
      </c>
      <c r="G218" s="29"/>
      <c r="H218" s="29">
        <v>0</v>
      </c>
      <c r="M218" s="43" t="s">
        <v>1172</v>
      </c>
    </row>
    <row r="219" spans="2:13" x14ac:dyDescent="0.15">
      <c r="B219" s="29" t="s">
        <v>164</v>
      </c>
      <c r="C219" s="29" t="s">
        <v>156</v>
      </c>
      <c r="D219" s="29" t="s">
        <v>266</v>
      </c>
      <c r="E219" s="29">
        <v>0</v>
      </c>
      <c r="F219" s="29">
        <v>99999999</v>
      </c>
      <c r="G219" s="29"/>
      <c r="H219" s="29">
        <v>0</v>
      </c>
      <c r="M219" s="43" t="s">
        <v>1173</v>
      </c>
    </row>
    <row r="220" spans="2:13" x14ac:dyDescent="0.15">
      <c r="B220" s="29" t="s">
        <v>164</v>
      </c>
      <c r="C220" s="29" t="s">
        <v>157</v>
      </c>
      <c r="D220" s="29" t="s">
        <v>267</v>
      </c>
      <c r="E220" s="29">
        <v>0</v>
      </c>
      <c r="F220" s="29">
        <v>99999999</v>
      </c>
      <c r="G220" s="29"/>
      <c r="H220" s="29">
        <v>0</v>
      </c>
      <c r="M220" s="43" t="s">
        <v>1051</v>
      </c>
    </row>
    <row r="221" spans="2:13" x14ac:dyDescent="0.15">
      <c r="B221" s="29" t="s">
        <v>164</v>
      </c>
      <c r="C221" s="29" t="s">
        <v>158</v>
      </c>
      <c r="D221" s="29" t="s">
        <v>268</v>
      </c>
      <c r="E221" s="29">
        <v>0</v>
      </c>
      <c r="F221" s="29">
        <v>99999999</v>
      </c>
      <c r="G221" s="29"/>
      <c r="H221" s="29">
        <v>0</v>
      </c>
      <c r="M221" s="43" t="s">
        <v>1174</v>
      </c>
    </row>
    <row r="222" spans="2:13" x14ac:dyDescent="0.15">
      <c r="B222" s="29" t="s">
        <v>164</v>
      </c>
      <c r="C222" s="29" t="s">
        <v>159</v>
      </c>
      <c r="D222" s="29" t="s">
        <v>269</v>
      </c>
      <c r="E222" s="29">
        <v>0</v>
      </c>
      <c r="F222" s="29">
        <v>99999999</v>
      </c>
      <c r="G222" s="29"/>
      <c r="H222" s="29">
        <v>0</v>
      </c>
      <c r="M222" s="43" t="s">
        <v>1175</v>
      </c>
    </row>
    <row r="223" spans="2:13" x14ac:dyDescent="0.15">
      <c r="B223" s="29" t="s">
        <v>164</v>
      </c>
      <c r="C223" s="29" t="s">
        <v>160</v>
      </c>
      <c r="D223" s="29" t="s">
        <v>270</v>
      </c>
      <c r="E223" s="29">
        <v>0</v>
      </c>
      <c r="F223" s="29">
        <v>99999999</v>
      </c>
      <c r="G223" s="29"/>
      <c r="H223" s="29">
        <v>0</v>
      </c>
      <c r="M223" s="43" t="s">
        <v>1176</v>
      </c>
    </row>
    <row r="224" spans="2:13" x14ac:dyDescent="0.15">
      <c r="B224" s="29" t="s">
        <v>164</v>
      </c>
      <c r="C224" s="29" t="s">
        <v>161</v>
      </c>
      <c r="D224" s="29" t="s">
        <v>271</v>
      </c>
      <c r="E224" s="29">
        <v>0</v>
      </c>
      <c r="F224" s="29">
        <v>99999999</v>
      </c>
      <c r="G224" s="29"/>
      <c r="H224" s="29">
        <v>0</v>
      </c>
      <c r="M224" s="43" t="s">
        <v>1292</v>
      </c>
    </row>
    <row r="225" spans="1:13" x14ac:dyDescent="0.15">
      <c r="B225" s="29" t="s">
        <v>164</v>
      </c>
      <c r="C225" s="29" t="s">
        <v>162</v>
      </c>
      <c r="D225" s="29" t="s">
        <v>272</v>
      </c>
      <c r="E225" s="29">
        <v>0</v>
      </c>
      <c r="F225" s="29">
        <v>99999999</v>
      </c>
      <c r="G225" s="29"/>
      <c r="H225" s="29">
        <v>0</v>
      </c>
      <c r="M225" s="43" t="s">
        <v>1177</v>
      </c>
    </row>
    <row r="226" spans="1:13" x14ac:dyDescent="0.15">
      <c r="B226" s="29" t="s">
        <v>164</v>
      </c>
      <c r="C226" s="29" t="s">
        <v>163</v>
      </c>
      <c r="D226" s="29" t="s">
        <v>273</v>
      </c>
      <c r="E226" s="29">
        <v>0</v>
      </c>
      <c r="F226" s="29">
        <v>99999999</v>
      </c>
      <c r="G226" s="29"/>
      <c r="H226" s="29">
        <v>0</v>
      </c>
      <c r="M226" s="43" t="s">
        <v>1178</v>
      </c>
    </row>
    <row r="227" spans="1:13" x14ac:dyDescent="0.15">
      <c r="B227" s="29" t="s">
        <v>164</v>
      </c>
      <c r="C227" s="29" t="s">
        <v>280</v>
      </c>
      <c r="D227" s="29" t="s">
        <v>274</v>
      </c>
      <c r="E227" s="29">
        <v>0</v>
      </c>
      <c r="F227" s="29">
        <v>99999999</v>
      </c>
      <c r="G227" s="29"/>
      <c r="H227" s="29">
        <v>0</v>
      </c>
      <c r="M227" s="43" t="s">
        <v>1293</v>
      </c>
    </row>
    <row r="228" spans="1:13" x14ac:dyDescent="0.15">
      <c r="B228" s="29" t="s">
        <v>164</v>
      </c>
      <c r="C228" s="29" t="s">
        <v>281</v>
      </c>
      <c r="D228" s="29" t="s">
        <v>275</v>
      </c>
      <c r="E228" s="29">
        <v>0</v>
      </c>
      <c r="F228" s="29">
        <v>99999999</v>
      </c>
      <c r="G228" s="29"/>
      <c r="H228" s="29">
        <v>0</v>
      </c>
      <c r="M228" s="43" t="s">
        <v>1051</v>
      </c>
    </row>
    <row r="229" spans="1:13" x14ac:dyDescent="0.15">
      <c r="B229" s="29" t="s">
        <v>164</v>
      </c>
      <c r="C229" s="29" t="s">
        <v>282</v>
      </c>
      <c r="D229" s="29" t="s">
        <v>276</v>
      </c>
      <c r="E229" s="29">
        <v>0</v>
      </c>
      <c r="F229" s="29">
        <v>99999999</v>
      </c>
      <c r="G229" s="29"/>
      <c r="H229" s="29">
        <v>0</v>
      </c>
      <c r="M229" s="43" t="s">
        <v>1179</v>
      </c>
    </row>
    <row r="230" spans="1:13" x14ac:dyDescent="0.15">
      <c r="B230" s="29" t="s">
        <v>164</v>
      </c>
      <c r="C230" s="29" t="s">
        <v>283</v>
      </c>
      <c r="D230" s="29" t="s">
        <v>277</v>
      </c>
      <c r="E230" s="29">
        <v>0</v>
      </c>
      <c r="F230" s="29">
        <v>99999999</v>
      </c>
      <c r="G230" s="29"/>
      <c r="H230" s="29">
        <v>0</v>
      </c>
      <c r="M230" s="43" t="s">
        <v>1180</v>
      </c>
    </row>
    <row r="231" spans="1:13" x14ac:dyDescent="0.15">
      <c r="B231" s="29" t="s">
        <v>164</v>
      </c>
      <c r="C231" s="29" t="s">
        <v>284</v>
      </c>
      <c r="D231" s="29" t="s">
        <v>278</v>
      </c>
      <c r="E231" s="29">
        <v>0</v>
      </c>
      <c r="F231" s="29">
        <v>99999999</v>
      </c>
      <c r="G231" s="29"/>
      <c r="H231" s="29">
        <v>0</v>
      </c>
      <c r="M231" s="43" t="s">
        <v>1181</v>
      </c>
    </row>
    <row r="232" spans="1:13" x14ac:dyDescent="0.15">
      <c r="B232" s="29" t="s">
        <v>164</v>
      </c>
      <c r="C232" s="29" t="s">
        <v>285</v>
      </c>
      <c r="D232" s="29" t="s">
        <v>279</v>
      </c>
      <c r="E232" s="29">
        <v>0</v>
      </c>
      <c r="F232" s="29">
        <v>99999999</v>
      </c>
      <c r="G232" s="29"/>
      <c r="H232" s="29">
        <v>0</v>
      </c>
      <c r="M232" s="43" t="s">
        <v>1182</v>
      </c>
    </row>
    <row r="233" spans="1:13" x14ac:dyDescent="0.15">
      <c r="M233" s="43" t="s">
        <v>1183</v>
      </c>
    </row>
    <row r="234" spans="1:13" x14ac:dyDescent="0.15">
      <c r="A234" s="33" t="s">
        <v>539</v>
      </c>
      <c r="B234" s="29" t="s">
        <v>543</v>
      </c>
      <c r="C234" s="29" t="s">
        <v>257</v>
      </c>
      <c r="D234" s="29"/>
      <c r="M234" s="43" t="s">
        <v>1184</v>
      </c>
    </row>
    <row r="235" spans="1:13" x14ac:dyDescent="0.15">
      <c r="B235" s="29" t="s">
        <v>540</v>
      </c>
      <c r="C235" s="29" t="s">
        <v>542</v>
      </c>
      <c r="D235" s="29" t="s">
        <v>556</v>
      </c>
      <c r="E235" s="29">
        <v>0</v>
      </c>
      <c r="F235" s="29">
        <v>99999999</v>
      </c>
      <c r="G235" s="29"/>
      <c r="H235" s="29">
        <v>0</v>
      </c>
      <c r="I235" s="34"/>
      <c r="M235" s="43" t="s">
        <v>1185</v>
      </c>
    </row>
    <row r="236" spans="1:13" x14ac:dyDescent="0.15">
      <c r="B236" s="29" t="s">
        <v>541</v>
      </c>
      <c r="C236" s="29" t="s">
        <v>102</v>
      </c>
      <c r="D236" s="29" t="s">
        <v>557</v>
      </c>
      <c r="E236" s="29"/>
      <c r="F236" s="29">
        <v>16</v>
      </c>
      <c r="G236" s="29"/>
      <c r="H236" s="29" t="s">
        <v>123</v>
      </c>
      <c r="M236" s="43" t="s">
        <v>1186</v>
      </c>
    </row>
    <row r="237" spans="1:13" x14ac:dyDescent="0.15">
      <c r="B237" s="29" t="s">
        <v>540</v>
      </c>
      <c r="C237" s="29" t="s">
        <v>103</v>
      </c>
      <c r="D237" s="29" t="s">
        <v>558</v>
      </c>
      <c r="E237" s="29">
        <v>0</v>
      </c>
      <c r="F237" s="29">
        <v>99999999</v>
      </c>
      <c r="G237" s="29"/>
      <c r="H237" s="29">
        <v>0</v>
      </c>
      <c r="M237" s="43" t="s">
        <v>1187</v>
      </c>
    </row>
    <row r="238" spans="1:13" x14ac:dyDescent="0.15">
      <c r="B238" s="29" t="s">
        <v>540</v>
      </c>
      <c r="C238" s="29" t="s">
        <v>104</v>
      </c>
      <c r="D238" s="29" t="s">
        <v>559</v>
      </c>
      <c r="E238" s="29">
        <v>0</v>
      </c>
      <c r="F238" s="29">
        <v>99999999</v>
      </c>
      <c r="G238" s="29"/>
      <c r="H238" s="29">
        <v>0</v>
      </c>
      <c r="M238" s="43" t="s">
        <v>1188</v>
      </c>
    </row>
    <row r="239" spans="1:13" x14ac:dyDescent="0.15">
      <c r="B239" s="29" t="s">
        <v>540</v>
      </c>
      <c r="C239" s="29" t="s">
        <v>105</v>
      </c>
      <c r="D239" s="29" t="s">
        <v>560</v>
      </c>
      <c r="E239" s="29">
        <v>0</v>
      </c>
      <c r="F239" s="29">
        <v>99999999</v>
      </c>
      <c r="G239" s="29"/>
      <c r="H239" s="29">
        <v>0</v>
      </c>
      <c r="M239" s="43" t="s">
        <v>1189</v>
      </c>
    </row>
    <row r="240" spans="1:13" x14ac:dyDescent="0.15">
      <c r="B240" s="29" t="s">
        <v>540</v>
      </c>
      <c r="C240" s="29" t="s">
        <v>106</v>
      </c>
      <c r="D240" s="29" t="s">
        <v>561</v>
      </c>
      <c r="E240" s="29">
        <v>0</v>
      </c>
      <c r="F240" s="29">
        <v>99999999</v>
      </c>
      <c r="G240" s="29"/>
      <c r="H240" s="29">
        <v>0</v>
      </c>
      <c r="M240" s="43" t="s">
        <v>1190</v>
      </c>
    </row>
    <row r="241" spans="1:13" x14ac:dyDescent="0.15">
      <c r="B241" s="29"/>
      <c r="C241" s="29"/>
      <c r="D241" s="29"/>
      <c r="E241" s="29"/>
      <c r="F241" s="29"/>
      <c r="G241" s="29"/>
      <c r="H241" s="29"/>
      <c r="M241" s="43" t="s">
        <v>1191</v>
      </c>
    </row>
    <row r="242" spans="1:13" x14ac:dyDescent="0.15">
      <c r="D242" s="29"/>
      <c r="M242" s="43" t="s">
        <v>1192</v>
      </c>
    </row>
    <row r="243" spans="1:13" x14ac:dyDescent="0.15">
      <c r="A243" s="33" t="s">
        <v>552</v>
      </c>
      <c r="B243" s="29" t="s">
        <v>553</v>
      </c>
      <c r="C243" s="29" t="s">
        <v>554</v>
      </c>
      <c r="D243" s="29"/>
      <c r="M243" s="43" t="s">
        <v>1193</v>
      </c>
    </row>
    <row r="244" spans="1:13" x14ac:dyDescent="0.15">
      <c r="B244" s="29" t="s">
        <v>540</v>
      </c>
      <c r="C244" s="29" t="s">
        <v>542</v>
      </c>
      <c r="D244" s="29" t="s">
        <v>562</v>
      </c>
      <c r="E244" s="26">
        <v>0</v>
      </c>
      <c r="F244" s="26">
        <v>99999999</v>
      </c>
      <c r="G244" s="26"/>
      <c r="H244" s="26">
        <v>1</v>
      </c>
      <c r="M244" s="43" t="s">
        <v>1194</v>
      </c>
    </row>
    <row r="245" spans="1:13" x14ac:dyDescent="0.15">
      <c r="B245" s="29" t="s">
        <v>541</v>
      </c>
      <c r="C245" s="29" t="s">
        <v>102</v>
      </c>
      <c r="D245" s="29" t="s">
        <v>563</v>
      </c>
      <c r="E245" s="26"/>
      <c r="F245" s="26">
        <v>16</v>
      </c>
      <c r="G245" s="26"/>
      <c r="H245" s="26" t="s">
        <v>123</v>
      </c>
      <c r="M245" s="43" t="s">
        <v>1195</v>
      </c>
    </row>
    <row r="246" spans="1:13" x14ac:dyDescent="0.15">
      <c r="B246" s="29" t="s">
        <v>541</v>
      </c>
      <c r="C246" s="29" t="s">
        <v>103</v>
      </c>
      <c r="D246" s="29" t="s">
        <v>564</v>
      </c>
      <c r="E246" s="26"/>
      <c r="F246" s="26">
        <v>16</v>
      </c>
      <c r="G246" s="26"/>
      <c r="H246" s="26" t="s">
        <v>123</v>
      </c>
      <c r="M246" s="43" t="s">
        <v>1196</v>
      </c>
    </row>
    <row r="247" spans="1:13" x14ac:dyDescent="0.15">
      <c r="B247" s="29" t="s">
        <v>541</v>
      </c>
      <c r="C247" s="29" t="s">
        <v>104</v>
      </c>
      <c r="D247" s="29" t="s">
        <v>565</v>
      </c>
      <c r="E247" s="26"/>
      <c r="F247" s="26">
        <v>16</v>
      </c>
      <c r="G247" s="26"/>
      <c r="H247" s="26" t="s">
        <v>123</v>
      </c>
      <c r="M247" s="43" t="s">
        <v>1197</v>
      </c>
    </row>
    <row r="248" spans="1:13" x14ac:dyDescent="0.15">
      <c r="B248" s="29" t="s">
        <v>540</v>
      </c>
      <c r="C248" s="29" t="s">
        <v>105</v>
      </c>
      <c r="D248" s="29" t="s">
        <v>566</v>
      </c>
      <c r="E248" s="26">
        <v>0</v>
      </c>
      <c r="F248" s="26">
        <v>99999999</v>
      </c>
      <c r="G248" s="26"/>
      <c r="H248" s="26">
        <v>0</v>
      </c>
      <c r="M248" s="43" t="s">
        <v>1198</v>
      </c>
    </row>
    <row r="249" spans="1:13" x14ac:dyDescent="0.15">
      <c r="B249" s="29" t="s">
        <v>541</v>
      </c>
      <c r="C249" s="29" t="s">
        <v>106</v>
      </c>
      <c r="D249" s="29" t="s">
        <v>567</v>
      </c>
      <c r="E249" s="26"/>
      <c r="F249" s="26">
        <v>16</v>
      </c>
      <c r="G249" s="26"/>
      <c r="H249" s="26" t="s">
        <v>123</v>
      </c>
      <c r="M249" s="43" t="s">
        <v>1199</v>
      </c>
    </row>
    <row r="250" spans="1:13" x14ac:dyDescent="0.15">
      <c r="B250" s="29" t="s">
        <v>541</v>
      </c>
      <c r="C250" s="29" t="s">
        <v>107</v>
      </c>
      <c r="D250" s="29" t="s">
        <v>568</v>
      </c>
      <c r="E250" s="26"/>
      <c r="F250" s="26">
        <v>16</v>
      </c>
      <c r="G250" s="26"/>
      <c r="H250" s="26" t="s">
        <v>123</v>
      </c>
      <c r="M250" s="43" t="s">
        <v>1051</v>
      </c>
    </row>
    <row r="251" spans="1:13" x14ac:dyDescent="0.15">
      <c r="B251" s="29" t="s">
        <v>540</v>
      </c>
      <c r="C251" s="29" t="s">
        <v>155</v>
      </c>
      <c r="D251" s="29" t="s">
        <v>569</v>
      </c>
      <c r="E251" s="26">
        <v>0</v>
      </c>
      <c r="F251" s="26">
        <v>99999999</v>
      </c>
      <c r="G251" s="26"/>
      <c r="H251" s="26">
        <v>0</v>
      </c>
      <c r="M251" s="43" t="s">
        <v>1200</v>
      </c>
    </row>
    <row r="252" spans="1:13" x14ac:dyDescent="0.15">
      <c r="B252" s="29" t="s">
        <v>540</v>
      </c>
      <c r="C252" s="29" t="s">
        <v>156</v>
      </c>
      <c r="D252" s="29" t="s">
        <v>570</v>
      </c>
      <c r="E252" s="26">
        <v>0</v>
      </c>
      <c r="F252" s="26">
        <v>99999999</v>
      </c>
      <c r="G252" s="26"/>
      <c r="H252" s="26">
        <v>0</v>
      </c>
      <c r="M252" s="43" t="s">
        <v>1201</v>
      </c>
    </row>
    <row r="253" spans="1:13" x14ac:dyDescent="0.15">
      <c r="B253" s="29" t="s">
        <v>540</v>
      </c>
      <c r="C253" s="29" t="s">
        <v>157</v>
      </c>
      <c r="D253" s="29" t="s">
        <v>571</v>
      </c>
      <c r="E253" s="26">
        <v>0</v>
      </c>
      <c r="F253" s="26">
        <v>99999999</v>
      </c>
      <c r="G253" s="26"/>
      <c r="H253" s="26">
        <v>0</v>
      </c>
      <c r="M253" s="43" t="s">
        <v>1202</v>
      </c>
    </row>
    <row r="254" spans="1:13" x14ac:dyDescent="0.15">
      <c r="B254" s="29" t="s">
        <v>540</v>
      </c>
      <c r="C254" s="29" t="s">
        <v>158</v>
      </c>
      <c r="D254" s="29" t="s">
        <v>572</v>
      </c>
      <c r="E254" s="26">
        <v>0</v>
      </c>
      <c r="F254" s="26">
        <v>99999999</v>
      </c>
      <c r="G254" s="26"/>
      <c r="H254" s="26">
        <v>0</v>
      </c>
      <c r="M254" s="43" t="s">
        <v>1203</v>
      </c>
    </row>
    <row r="255" spans="1:13" x14ac:dyDescent="0.15">
      <c r="B255" s="29" t="s">
        <v>540</v>
      </c>
      <c r="C255" s="29" t="s">
        <v>159</v>
      </c>
      <c r="D255" s="29" t="s">
        <v>573</v>
      </c>
      <c r="E255" s="26">
        <v>0</v>
      </c>
      <c r="F255" s="26">
        <v>99999999</v>
      </c>
      <c r="G255" s="26"/>
      <c r="H255" s="26">
        <v>0</v>
      </c>
      <c r="M255" s="43" t="s">
        <v>1204</v>
      </c>
    </row>
    <row r="256" spans="1:13" x14ac:dyDescent="0.15">
      <c r="B256" s="29" t="s">
        <v>555</v>
      </c>
      <c r="C256" s="29" t="s">
        <v>160</v>
      </c>
      <c r="D256" s="29" t="s">
        <v>574</v>
      </c>
      <c r="E256" s="26">
        <v>0</v>
      </c>
      <c r="F256" s="26">
        <v>99999999</v>
      </c>
      <c r="G256" s="26"/>
      <c r="H256" s="26">
        <v>0</v>
      </c>
      <c r="M256" s="43" t="s">
        <v>1205</v>
      </c>
    </row>
    <row r="257" spans="1:14" x14ac:dyDescent="0.15">
      <c r="B257" s="29" t="s">
        <v>555</v>
      </c>
      <c r="C257" s="29" t="s">
        <v>161</v>
      </c>
      <c r="D257" s="29" t="s">
        <v>575</v>
      </c>
      <c r="E257" s="26">
        <v>0</v>
      </c>
      <c r="F257" s="26">
        <v>99999999</v>
      </c>
      <c r="G257" s="26"/>
      <c r="H257" s="26">
        <v>0</v>
      </c>
      <c r="M257" s="43" t="s">
        <v>1206</v>
      </c>
    </row>
    <row r="258" spans="1:14" x14ac:dyDescent="0.15">
      <c r="B258" s="29" t="s">
        <v>555</v>
      </c>
      <c r="C258" s="29" t="s">
        <v>162</v>
      </c>
      <c r="D258" s="29" t="s">
        <v>576</v>
      </c>
      <c r="E258" s="26">
        <v>0</v>
      </c>
      <c r="F258" s="26">
        <v>99999999</v>
      </c>
      <c r="G258" s="26"/>
      <c r="H258" s="26">
        <v>0</v>
      </c>
      <c r="M258" s="43" t="s">
        <v>1207</v>
      </c>
    </row>
    <row r="259" spans="1:14" x14ac:dyDescent="0.15">
      <c r="B259" s="29" t="s">
        <v>555</v>
      </c>
      <c r="C259" s="29" t="s">
        <v>163</v>
      </c>
      <c r="D259" s="29" t="s">
        <v>577</v>
      </c>
      <c r="E259" s="26">
        <v>0</v>
      </c>
      <c r="F259" s="26">
        <v>99999999</v>
      </c>
      <c r="G259" s="26"/>
      <c r="H259" s="26">
        <v>0</v>
      </c>
      <c r="M259" s="43" t="s">
        <v>1208</v>
      </c>
    </row>
    <row r="260" spans="1:14" x14ac:dyDescent="0.15">
      <c r="B260" s="29" t="s">
        <v>540</v>
      </c>
      <c r="C260" s="29" t="s">
        <v>280</v>
      </c>
      <c r="D260" s="29" t="s">
        <v>578</v>
      </c>
      <c r="E260" s="26">
        <v>0</v>
      </c>
      <c r="F260" s="26">
        <v>99999999</v>
      </c>
      <c r="G260" s="26"/>
      <c r="H260" s="26">
        <v>0</v>
      </c>
      <c r="M260" s="43" t="s">
        <v>1209</v>
      </c>
    </row>
    <row r="261" spans="1:14" x14ac:dyDescent="0.15">
      <c r="B261" s="29" t="s">
        <v>540</v>
      </c>
      <c r="C261" s="29" t="s">
        <v>281</v>
      </c>
      <c r="D261" s="29" t="s">
        <v>579</v>
      </c>
      <c r="E261" s="26">
        <v>0</v>
      </c>
      <c r="F261" s="26">
        <v>99999999</v>
      </c>
      <c r="G261" s="26"/>
      <c r="H261" s="26">
        <v>0</v>
      </c>
      <c r="M261" s="43" t="s">
        <v>1210</v>
      </c>
    </row>
    <row r="262" spans="1:14" x14ac:dyDescent="0.15">
      <c r="B262" s="29" t="s">
        <v>540</v>
      </c>
      <c r="C262" s="29" t="s">
        <v>282</v>
      </c>
      <c r="D262" s="29" t="s">
        <v>580</v>
      </c>
      <c r="E262" s="26">
        <v>0</v>
      </c>
      <c r="F262" s="26">
        <v>99999999</v>
      </c>
      <c r="G262" s="26"/>
      <c r="H262" s="26">
        <v>0</v>
      </c>
      <c r="M262" s="43" t="s">
        <v>1211</v>
      </c>
    </row>
    <row r="263" spans="1:14" x14ac:dyDescent="0.15">
      <c r="B263" s="29" t="s">
        <v>540</v>
      </c>
      <c r="C263" s="29" t="s">
        <v>283</v>
      </c>
      <c r="D263" s="29" t="s">
        <v>581</v>
      </c>
      <c r="E263" s="26">
        <v>0</v>
      </c>
      <c r="F263" s="26">
        <v>99999999</v>
      </c>
      <c r="G263" s="26"/>
      <c r="H263" s="26">
        <v>0</v>
      </c>
      <c r="M263" s="43" t="s">
        <v>1294</v>
      </c>
    </row>
    <row r="264" spans="1:14" x14ac:dyDescent="0.15">
      <c r="B264" s="29"/>
      <c r="M264" s="43" t="s">
        <v>1051</v>
      </c>
    </row>
    <row r="265" spans="1:14" x14ac:dyDescent="0.15">
      <c r="A265" s="34" t="s">
        <v>603</v>
      </c>
      <c r="B265" s="29" t="s">
        <v>604</v>
      </c>
      <c r="C265" s="29" t="s">
        <v>605</v>
      </c>
      <c r="M265" s="43" t="s">
        <v>1212</v>
      </c>
    </row>
    <row r="266" spans="1:14" x14ac:dyDescent="0.15">
      <c r="B266" s="29" t="s">
        <v>164</v>
      </c>
      <c r="C266" s="29" t="s">
        <v>612</v>
      </c>
      <c r="D266" s="35" t="s">
        <v>606</v>
      </c>
      <c r="E266" s="26">
        <v>0</v>
      </c>
      <c r="F266" s="26">
        <v>99999999</v>
      </c>
      <c r="G266" s="26"/>
      <c r="H266" s="26">
        <v>1</v>
      </c>
      <c r="I266" s="35"/>
      <c r="J266" s="35"/>
      <c r="K266" s="35"/>
      <c r="L266" s="35"/>
      <c r="M266" s="43" t="s">
        <v>1213</v>
      </c>
      <c r="N266" s="35"/>
    </row>
    <row r="267" spans="1:14" x14ac:dyDescent="0.15">
      <c r="B267" s="29" t="s">
        <v>256</v>
      </c>
      <c r="C267" s="34" t="s">
        <v>613</v>
      </c>
      <c r="D267" s="35" t="s">
        <v>607</v>
      </c>
      <c r="E267" s="26"/>
      <c r="F267" s="26">
        <v>16</v>
      </c>
      <c r="G267" s="26"/>
      <c r="H267" s="26" t="s">
        <v>617</v>
      </c>
      <c r="M267" s="43" t="s">
        <v>1214</v>
      </c>
    </row>
    <row r="268" spans="1:14" x14ac:dyDescent="0.15">
      <c r="B268" s="29" t="s">
        <v>164</v>
      </c>
      <c r="C268" s="29" t="s">
        <v>103</v>
      </c>
      <c r="D268" s="35" t="s">
        <v>608</v>
      </c>
      <c r="E268" s="26">
        <v>0</v>
      </c>
      <c r="F268" s="26">
        <v>99999999</v>
      </c>
      <c r="G268" s="26"/>
      <c r="H268" s="26">
        <v>0</v>
      </c>
      <c r="M268" s="43" t="s">
        <v>1215</v>
      </c>
    </row>
    <row r="269" spans="1:14" x14ac:dyDescent="0.15">
      <c r="B269" s="29" t="s">
        <v>164</v>
      </c>
      <c r="C269" s="35" t="s">
        <v>616</v>
      </c>
      <c r="D269" s="34" t="s">
        <v>611</v>
      </c>
      <c r="E269" s="26">
        <v>0</v>
      </c>
      <c r="F269" s="26">
        <v>99999999</v>
      </c>
      <c r="G269" s="26"/>
      <c r="H269" s="26">
        <v>0</v>
      </c>
      <c r="M269" s="43" t="s">
        <v>1216</v>
      </c>
    </row>
    <row r="270" spans="1:14" x14ac:dyDescent="0.15">
      <c r="B270" s="29" t="s">
        <v>164</v>
      </c>
      <c r="C270" s="29" t="s">
        <v>614</v>
      </c>
      <c r="D270" s="35" t="s">
        <v>609</v>
      </c>
      <c r="E270" s="26">
        <v>-1</v>
      </c>
      <c r="F270" s="26">
        <v>99999999</v>
      </c>
      <c r="G270" s="26"/>
      <c r="H270" s="26">
        <v>-1</v>
      </c>
      <c r="M270" s="43" t="s">
        <v>1051</v>
      </c>
    </row>
    <row r="271" spans="1:14" x14ac:dyDescent="0.15">
      <c r="B271" s="29" t="s">
        <v>164</v>
      </c>
      <c r="C271" s="35" t="s">
        <v>615</v>
      </c>
      <c r="D271" s="35" t="s">
        <v>610</v>
      </c>
      <c r="E271" s="26">
        <v>0</v>
      </c>
      <c r="F271" s="26">
        <v>99999999</v>
      </c>
      <c r="G271" s="26"/>
      <c r="H271" s="26">
        <v>0</v>
      </c>
      <c r="M271" s="43" t="s">
        <v>1217</v>
      </c>
    </row>
    <row r="272" spans="1:14" x14ac:dyDescent="0.15">
      <c r="B272" s="29" t="s">
        <v>164</v>
      </c>
      <c r="C272" s="29" t="s">
        <v>106</v>
      </c>
      <c r="D272" s="35" t="s">
        <v>609</v>
      </c>
      <c r="E272" s="26">
        <v>-1</v>
      </c>
      <c r="F272" s="26">
        <v>99999999</v>
      </c>
      <c r="G272" s="26"/>
      <c r="H272" s="26">
        <v>-1</v>
      </c>
      <c r="M272" s="43" t="s">
        <v>1218</v>
      </c>
    </row>
    <row r="273" spans="1:14" x14ac:dyDescent="0.15">
      <c r="B273" s="29" t="s">
        <v>164</v>
      </c>
      <c r="C273" s="35" t="s">
        <v>107</v>
      </c>
      <c r="D273" s="35" t="s">
        <v>610</v>
      </c>
      <c r="E273" s="26">
        <v>0</v>
      </c>
      <c r="F273" s="26">
        <v>99999999</v>
      </c>
      <c r="G273" s="26"/>
      <c r="H273" s="26">
        <v>0</v>
      </c>
      <c r="M273" s="43" t="s">
        <v>1219</v>
      </c>
    </row>
    <row r="274" spans="1:14" x14ac:dyDescent="0.15">
      <c r="B274" s="29" t="s">
        <v>164</v>
      </c>
      <c r="C274" s="29" t="s">
        <v>155</v>
      </c>
      <c r="D274" s="35" t="s">
        <v>609</v>
      </c>
      <c r="E274" s="26">
        <v>-1</v>
      </c>
      <c r="F274" s="26">
        <v>99999999</v>
      </c>
      <c r="G274" s="26"/>
      <c r="H274" s="26">
        <v>-1</v>
      </c>
      <c r="M274" s="43" t="s">
        <v>1220</v>
      </c>
    </row>
    <row r="275" spans="1:14" x14ac:dyDescent="0.15">
      <c r="B275" s="29" t="s">
        <v>164</v>
      </c>
      <c r="C275" s="35" t="s">
        <v>156</v>
      </c>
      <c r="D275" s="35" t="s">
        <v>610</v>
      </c>
      <c r="E275" s="26">
        <v>0</v>
      </c>
      <c r="F275" s="26">
        <v>99999999</v>
      </c>
      <c r="G275" s="26"/>
      <c r="H275" s="26">
        <v>0</v>
      </c>
      <c r="M275" s="43" t="s">
        <v>1295</v>
      </c>
    </row>
    <row r="276" spans="1:14" x14ac:dyDescent="0.15">
      <c r="B276" s="29" t="s">
        <v>164</v>
      </c>
      <c r="C276" s="29" t="s">
        <v>157</v>
      </c>
      <c r="D276" s="35" t="s">
        <v>609</v>
      </c>
      <c r="E276" s="26">
        <v>-1</v>
      </c>
      <c r="F276" s="26">
        <v>99999999</v>
      </c>
      <c r="G276" s="26"/>
      <c r="H276" s="26">
        <v>-1</v>
      </c>
      <c r="M276" s="43" t="s">
        <v>1296</v>
      </c>
    </row>
    <row r="277" spans="1:14" x14ac:dyDescent="0.15">
      <c r="B277" s="29" t="s">
        <v>164</v>
      </c>
      <c r="C277" s="35" t="s">
        <v>158</v>
      </c>
      <c r="D277" s="35" t="s">
        <v>610</v>
      </c>
      <c r="E277" s="26">
        <v>0</v>
      </c>
      <c r="F277" s="26">
        <v>99999999</v>
      </c>
      <c r="G277" s="26"/>
      <c r="H277" s="26">
        <v>0</v>
      </c>
      <c r="M277" s="43" t="s">
        <v>1221</v>
      </c>
    </row>
    <row r="278" spans="1:14" x14ac:dyDescent="0.15">
      <c r="M278" s="43" t="s">
        <v>1222</v>
      </c>
    </row>
    <row r="279" spans="1:14" x14ac:dyDescent="0.15">
      <c r="A279" s="35" t="s">
        <v>632</v>
      </c>
      <c r="B279" s="29" t="s">
        <v>633</v>
      </c>
      <c r="C279" s="35" t="s">
        <v>634</v>
      </c>
      <c r="M279" s="43" t="s">
        <v>1297</v>
      </c>
    </row>
    <row r="280" spans="1:14" x14ac:dyDescent="0.15">
      <c r="B280" s="29" t="s">
        <v>540</v>
      </c>
      <c r="C280" s="29" t="s">
        <v>612</v>
      </c>
      <c r="D280" s="35" t="s">
        <v>636</v>
      </c>
      <c r="E280" s="29">
        <v>0</v>
      </c>
      <c r="F280" s="29">
        <v>99999999</v>
      </c>
      <c r="G280" s="29"/>
      <c r="H280" s="29">
        <v>1</v>
      </c>
      <c r="M280" s="43" t="s">
        <v>1223</v>
      </c>
    </row>
    <row r="281" spans="1:14" x14ac:dyDescent="0.15">
      <c r="B281" s="29" t="s">
        <v>644</v>
      </c>
      <c r="C281" s="35" t="s">
        <v>643</v>
      </c>
      <c r="D281" s="35" t="s">
        <v>645</v>
      </c>
      <c r="F281">
        <v>16</v>
      </c>
      <c r="H281" s="35" t="s">
        <v>646</v>
      </c>
      <c r="M281" s="43" t="s">
        <v>1224</v>
      </c>
    </row>
    <row r="282" spans="1:14" x14ac:dyDescent="0.15">
      <c r="B282" s="29" t="s">
        <v>635</v>
      </c>
      <c r="C282" s="35" t="s">
        <v>613</v>
      </c>
      <c r="D282" s="35" t="s">
        <v>637</v>
      </c>
      <c r="E282" s="29">
        <v>0</v>
      </c>
      <c r="F282" s="29">
        <v>99999999</v>
      </c>
      <c r="G282" s="29"/>
      <c r="H282" s="29">
        <v>0</v>
      </c>
      <c r="M282" s="43" t="s">
        <v>1298</v>
      </c>
    </row>
    <row r="283" spans="1:14" x14ac:dyDescent="0.15">
      <c r="B283" s="29" t="s">
        <v>635</v>
      </c>
      <c r="C283" s="29" t="s">
        <v>103</v>
      </c>
      <c r="D283" s="35" t="s">
        <v>638</v>
      </c>
      <c r="E283" s="29">
        <v>0</v>
      </c>
      <c r="F283" s="29">
        <v>99999999</v>
      </c>
      <c r="G283" s="29"/>
      <c r="H283" s="29">
        <v>0</v>
      </c>
      <c r="M283" s="43" t="s">
        <v>1225</v>
      </c>
    </row>
    <row r="284" spans="1:14" x14ac:dyDescent="0.15">
      <c r="M284" s="43" t="s">
        <v>1299</v>
      </c>
    </row>
    <row r="285" spans="1:14" x14ac:dyDescent="0.15">
      <c r="A285" s="35" t="s">
        <v>648</v>
      </c>
      <c r="B285" s="29" t="s">
        <v>650</v>
      </c>
      <c r="C285" s="35" t="s">
        <v>649</v>
      </c>
      <c r="M285" s="43" t="s">
        <v>1226</v>
      </c>
    </row>
    <row r="286" spans="1:14" x14ac:dyDescent="0.15">
      <c r="B286" s="29" t="s">
        <v>540</v>
      </c>
      <c r="C286" s="37" t="s">
        <v>658</v>
      </c>
      <c r="D286" s="36" t="s">
        <v>651</v>
      </c>
      <c r="E286" s="29">
        <v>0</v>
      </c>
      <c r="F286" s="29">
        <v>99999999</v>
      </c>
      <c r="G286" s="29"/>
      <c r="H286" s="29">
        <v>1</v>
      </c>
      <c r="M286" s="43" t="s">
        <v>1227</v>
      </c>
    </row>
    <row r="287" spans="1:14" x14ac:dyDescent="0.15">
      <c r="B287" s="29" t="s">
        <v>540</v>
      </c>
      <c r="C287" s="37" t="s">
        <v>102</v>
      </c>
      <c r="D287" s="36" t="s">
        <v>652</v>
      </c>
      <c r="E287" s="29">
        <v>0</v>
      </c>
      <c r="F287" s="29">
        <v>99999999</v>
      </c>
      <c r="G287" s="29"/>
      <c r="H287" s="29">
        <v>0</v>
      </c>
      <c r="M287" s="43" t="s">
        <v>1228</v>
      </c>
    </row>
    <row r="288" spans="1:14" x14ac:dyDescent="0.15">
      <c r="B288" s="29" t="s">
        <v>540</v>
      </c>
      <c r="C288" s="37" t="s">
        <v>103</v>
      </c>
      <c r="D288" s="36" t="s">
        <v>653</v>
      </c>
      <c r="E288" s="29">
        <v>0</v>
      </c>
      <c r="F288" s="29">
        <v>99999999</v>
      </c>
      <c r="G288" s="29"/>
      <c r="H288" s="29">
        <v>0</v>
      </c>
      <c r="I288" s="36"/>
      <c r="J288" s="36"/>
      <c r="K288" s="36"/>
      <c r="L288" s="36"/>
      <c r="M288" s="43" t="s">
        <v>1051</v>
      </c>
      <c r="N288" s="36"/>
    </row>
    <row r="289" spans="1:13" x14ac:dyDescent="0.15">
      <c r="B289" s="37" t="s">
        <v>96</v>
      </c>
      <c r="C289" s="37" t="s">
        <v>104</v>
      </c>
      <c r="D289" s="36" t="s">
        <v>654</v>
      </c>
      <c r="E289" s="26">
        <v>0</v>
      </c>
      <c r="F289" s="26">
        <v>99999999</v>
      </c>
      <c r="G289" s="26"/>
      <c r="H289" s="26">
        <v>0</v>
      </c>
      <c r="M289" s="43" t="s">
        <v>1229</v>
      </c>
    </row>
    <row r="290" spans="1:13" x14ac:dyDescent="0.15">
      <c r="B290" s="37" t="s">
        <v>96</v>
      </c>
      <c r="C290" s="37" t="s">
        <v>105</v>
      </c>
      <c r="D290" s="36" t="s">
        <v>655</v>
      </c>
      <c r="E290" s="26">
        <v>0</v>
      </c>
      <c r="F290" s="26">
        <v>99999999</v>
      </c>
      <c r="G290" s="26"/>
      <c r="H290" s="26">
        <v>0</v>
      </c>
      <c r="M290" s="43" t="s">
        <v>1230</v>
      </c>
    </row>
    <row r="291" spans="1:13" x14ac:dyDescent="0.15">
      <c r="B291" s="37" t="s">
        <v>96</v>
      </c>
      <c r="C291" s="37" t="s">
        <v>106</v>
      </c>
      <c r="D291" s="36" t="s">
        <v>656</v>
      </c>
      <c r="E291" s="26">
        <v>0</v>
      </c>
      <c r="F291" s="26">
        <v>99999999</v>
      </c>
      <c r="G291" s="26"/>
      <c r="H291" s="26">
        <v>0</v>
      </c>
      <c r="M291" s="43" t="s">
        <v>1231</v>
      </c>
    </row>
    <row r="292" spans="1:13" x14ac:dyDescent="0.15">
      <c r="B292" s="37" t="s">
        <v>96</v>
      </c>
      <c r="C292" s="37" t="s">
        <v>107</v>
      </c>
      <c r="D292" s="36" t="s">
        <v>657</v>
      </c>
      <c r="E292" s="26">
        <v>0</v>
      </c>
      <c r="F292" s="26">
        <v>99999999</v>
      </c>
      <c r="G292" s="26"/>
      <c r="H292" s="26">
        <v>0</v>
      </c>
      <c r="M292" s="43" t="s">
        <v>1232</v>
      </c>
    </row>
    <row r="293" spans="1:13" x14ac:dyDescent="0.15">
      <c r="B293" s="37" t="s">
        <v>96</v>
      </c>
      <c r="C293" s="37" t="s">
        <v>155</v>
      </c>
      <c r="D293" s="37" t="s">
        <v>659</v>
      </c>
      <c r="E293" s="26">
        <v>0</v>
      </c>
      <c r="F293" s="26">
        <v>99999999</v>
      </c>
      <c r="G293" s="26"/>
      <c r="H293" s="26">
        <v>0</v>
      </c>
      <c r="M293" s="43" t="s">
        <v>1233</v>
      </c>
    </row>
    <row r="294" spans="1:13" x14ac:dyDescent="0.15">
      <c r="B294" s="37" t="s">
        <v>96</v>
      </c>
      <c r="C294" s="37" t="s">
        <v>156</v>
      </c>
      <c r="D294" s="37" t="s">
        <v>660</v>
      </c>
      <c r="E294" s="26">
        <v>0</v>
      </c>
      <c r="F294" s="26">
        <v>99999999</v>
      </c>
      <c r="G294" s="26"/>
      <c r="H294" s="26">
        <v>0</v>
      </c>
      <c r="M294" s="43" t="s">
        <v>1051</v>
      </c>
    </row>
    <row r="295" spans="1:13" x14ac:dyDescent="0.15">
      <c r="B295" s="37" t="s">
        <v>662</v>
      </c>
      <c r="C295" s="37" t="s">
        <v>661</v>
      </c>
      <c r="D295" s="37" t="s">
        <v>663</v>
      </c>
      <c r="E295" s="26">
        <v>0</v>
      </c>
      <c r="F295" s="26">
        <v>99999999</v>
      </c>
      <c r="G295" s="26"/>
      <c r="H295" s="26">
        <v>0</v>
      </c>
      <c r="M295" s="43" t="s">
        <v>1300</v>
      </c>
    </row>
    <row r="296" spans="1:13" s="37" customFormat="1" x14ac:dyDescent="0.15">
      <c r="B296" s="40" t="s">
        <v>662</v>
      </c>
      <c r="C296" s="37" t="s">
        <v>671</v>
      </c>
      <c r="D296" s="38" t="s">
        <v>668</v>
      </c>
      <c r="E296" s="26">
        <v>0</v>
      </c>
      <c r="F296" s="26">
        <v>99999999</v>
      </c>
      <c r="G296" s="26"/>
      <c r="H296" s="26">
        <v>0</v>
      </c>
      <c r="M296" s="43" t="s">
        <v>1234</v>
      </c>
    </row>
    <row r="297" spans="1:13" x14ac:dyDescent="0.15">
      <c r="B297" s="40" t="s">
        <v>662</v>
      </c>
      <c r="C297" s="37" t="s">
        <v>666</v>
      </c>
      <c r="D297" s="37" t="s">
        <v>664</v>
      </c>
      <c r="E297" s="26">
        <v>0</v>
      </c>
      <c r="F297" s="26">
        <v>99999999</v>
      </c>
      <c r="G297" s="26"/>
      <c r="H297" s="26">
        <v>0</v>
      </c>
      <c r="M297" s="43" t="s">
        <v>1235</v>
      </c>
    </row>
    <row r="298" spans="1:13" s="37" customFormat="1" x14ac:dyDescent="0.15">
      <c r="B298" s="40" t="s">
        <v>662</v>
      </c>
      <c r="C298" s="37" t="s">
        <v>672</v>
      </c>
      <c r="D298" s="39" t="s">
        <v>669</v>
      </c>
      <c r="E298" s="26">
        <v>0</v>
      </c>
      <c r="F298" s="26">
        <v>99999999</v>
      </c>
      <c r="G298" s="26"/>
      <c r="H298" s="26">
        <v>0</v>
      </c>
      <c r="M298" s="43" t="s">
        <v>1236</v>
      </c>
    </row>
    <row r="299" spans="1:13" x14ac:dyDescent="0.15">
      <c r="B299" s="40" t="s">
        <v>662</v>
      </c>
      <c r="C299" s="37" t="s">
        <v>667</v>
      </c>
      <c r="D299" s="37" t="s">
        <v>665</v>
      </c>
      <c r="E299" s="26">
        <v>0</v>
      </c>
      <c r="F299" s="26">
        <v>99999999</v>
      </c>
      <c r="G299" s="26"/>
      <c r="H299" s="26">
        <v>0</v>
      </c>
      <c r="M299" s="43" t="s">
        <v>1237</v>
      </c>
    </row>
    <row r="300" spans="1:13" x14ac:dyDescent="0.15">
      <c r="B300" s="40" t="s">
        <v>662</v>
      </c>
      <c r="C300" s="37" t="s">
        <v>673</v>
      </c>
      <c r="D300" s="40" t="s">
        <v>670</v>
      </c>
      <c r="E300" s="26">
        <v>0</v>
      </c>
      <c r="F300" s="26">
        <v>99999999</v>
      </c>
      <c r="G300" s="26"/>
      <c r="H300" s="26">
        <v>0</v>
      </c>
      <c r="M300" s="43" t="s">
        <v>1238</v>
      </c>
    </row>
    <row r="301" spans="1:13" s="40" customFormat="1" x14ac:dyDescent="0.15">
      <c r="B301" s="40" t="s">
        <v>687</v>
      </c>
      <c r="C301" s="40" t="s">
        <v>688</v>
      </c>
      <c r="D301" s="40" t="s">
        <v>689</v>
      </c>
      <c r="E301" s="26">
        <v>0</v>
      </c>
      <c r="F301" s="26">
        <v>99999999</v>
      </c>
      <c r="G301" s="26"/>
      <c r="H301" s="26">
        <v>0</v>
      </c>
      <c r="M301" s="43" t="s">
        <v>1239</v>
      </c>
    </row>
    <row r="302" spans="1:13" x14ac:dyDescent="0.15">
      <c r="B302" s="40"/>
      <c r="M302" s="43" t="s">
        <v>1240</v>
      </c>
    </row>
    <row r="303" spans="1:13" x14ac:dyDescent="0.15">
      <c r="A303" s="40" t="s">
        <v>675</v>
      </c>
      <c r="B303" s="40" t="s">
        <v>674</v>
      </c>
      <c r="C303" s="40" t="s">
        <v>676</v>
      </c>
      <c r="M303" s="43" t="s">
        <v>1241</v>
      </c>
    </row>
    <row r="304" spans="1:13" x14ac:dyDescent="0.15">
      <c r="B304" s="40" t="s">
        <v>677</v>
      </c>
      <c r="C304" s="40" t="s">
        <v>683</v>
      </c>
      <c r="D304" s="40" t="s">
        <v>679</v>
      </c>
      <c r="E304" s="29">
        <v>0</v>
      </c>
      <c r="F304" s="29">
        <v>99999999</v>
      </c>
      <c r="G304" s="29"/>
      <c r="H304" s="29">
        <v>1</v>
      </c>
      <c r="M304" s="43" t="s">
        <v>1242</v>
      </c>
    </row>
    <row r="305" spans="1:25" x14ac:dyDescent="0.15">
      <c r="B305" s="40" t="s">
        <v>678</v>
      </c>
      <c r="C305" s="40" t="s">
        <v>684</v>
      </c>
      <c r="D305" s="40" t="s">
        <v>680</v>
      </c>
      <c r="E305" s="26"/>
      <c r="F305" s="26">
        <v>16</v>
      </c>
      <c r="G305" s="26"/>
      <c r="H305" s="26" t="s">
        <v>123</v>
      </c>
      <c r="M305" s="43" t="s">
        <v>1243</v>
      </c>
    </row>
    <row r="306" spans="1:25" x14ac:dyDescent="0.15">
      <c r="B306" s="40" t="s">
        <v>678</v>
      </c>
      <c r="C306" s="40" t="s">
        <v>685</v>
      </c>
      <c r="D306" s="40" t="s">
        <v>681</v>
      </c>
      <c r="E306" s="26"/>
      <c r="F306" s="26">
        <v>16</v>
      </c>
      <c r="G306" s="26"/>
      <c r="H306" s="26" t="s">
        <v>123</v>
      </c>
      <c r="M306" s="43" t="s">
        <v>1244</v>
      </c>
    </row>
    <row r="307" spans="1:25" x14ac:dyDescent="0.15">
      <c r="B307" s="40" t="s">
        <v>678</v>
      </c>
      <c r="C307" s="40" t="s">
        <v>686</v>
      </c>
      <c r="D307" s="40" t="s">
        <v>682</v>
      </c>
      <c r="E307" s="26"/>
      <c r="F307" s="26">
        <v>16</v>
      </c>
      <c r="G307" s="26"/>
      <c r="H307" s="26" t="s">
        <v>123</v>
      </c>
      <c r="M307" s="43" t="s">
        <v>1245</v>
      </c>
    </row>
    <row r="308" spans="1:25" x14ac:dyDescent="0.15">
      <c r="M308" s="43" t="s">
        <v>1246</v>
      </c>
    </row>
    <row r="309" spans="1:25" x14ac:dyDescent="0.15">
      <c r="A309" s="40" t="s">
        <v>707</v>
      </c>
      <c r="B309" s="40" t="s">
        <v>708</v>
      </c>
      <c r="C309" s="40" t="s">
        <v>709</v>
      </c>
      <c r="M309" s="43" t="s">
        <v>1247</v>
      </c>
    </row>
    <row r="310" spans="1:25" x14ac:dyDescent="0.15">
      <c r="B310" s="40" t="s">
        <v>732</v>
      </c>
      <c r="C310" s="40" t="s">
        <v>731</v>
      </c>
      <c r="D310" s="41" t="s">
        <v>710</v>
      </c>
      <c r="E310" s="29">
        <v>0</v>
      </c>
      <c r="F310" s="29">
        <v>99999999</v>
      </c>
      <c r="G310" s="29"/>
      <c r="H310" s="29">
        <v>1</v>
      </c>
      <c r="M310" s="43" t="s">
        <v>1248</v>
      </c>
    </row>
    <row r="311" spans="1:25" x14ac:dyDescent="0.15">
      <c r="B311" s="41" t="s">
        <v>732</v>
      </c>
      <c r="C311" s="41" t="s">
        <v>102</v>
      </c>
      <c r="D311" s="41" t="s">
        <v>711</v>
      </c>
      <c r="E311" s="26">
        <v>0</v>
      </c>
      <c r="F311" s="26">
        <v>99999999</v>
      </c>
      <c r="G311" s="26"/>
      <c r="H311" s="26">
        <v>0</v>
      </c>
      <c r="M311" s="43" t="s">
        <v>1249</v>
      </c>
    </row>
    <row r="312" spans="1:25" x14ac:dyDescent="0.15">
      <c r="B312" s="41" t="s">
        <v>732</v>
      </c>
      <c r="C312" s="41" t="s">
        <v>103</v>
      </c>
      <c r="D312" s="41" t="s">
        <v>712</v>
      </c>
      <c r="E312" s="26">
        <v>0</v>
      </c>
      <c r="F312" s="26">
        <v>99999999</v>
      </c>
      <c r="G312" s="26"/>
      <c r="H312" s="26">
        <v>0</v>
      </c>
      <c r="M312" s="43" t="s">
        <v>1250</v>
      </c>
    </row>
    <row r="313" spans="1:25" x14ac:dyDescent="0.15">
      <c r="B313" s="41" t="s">
        <v>732</v>
      </c>
      <c r="C313" s="41" t="s">
        <v>104</v>
      </c>
      <c r="D313" s="41" t="s">
        <v>713</v>
      </c>
      <c r="E313" s="26">
        <v>0</v>
      </c>
      <c r="F313" s="26">
        <v>99999999</v>
      </c>
      <c r="G313" s="26"/>
      <c r="H313" s="26">
        <v>0</v>
      </c>
      <c r="M313" s="43" t="s">
        <v>1251</v>
      </c>
    </row>
    <row r="314" spans="1:25" x14ac:dyDescent="0.15">
      <c r="B314" s="41" t="s">
        <v>732</v>
      </c>
      <c r="C314" s="41" t="s">
        <v>105</v>
      </c>
      <c r="D314" s="41" t="s">
        <v>714</v>
      </c>
      <c r="E314" s="26">
        <v>0</v>
      </c>
      <c r="F314" s="26">
        <v>99999999</v>
      </c>
      <c r="G314" s="26"/>
      <c r="H314" s="26">
        <v>0</v>
      </c>
      <c r="M314" s="43" t="s">
        <v>1252</v>
      </c>
    </row>
    <row r="315" spans="1:25" x14ac:dyDescent="0.15">
      <c r="B315" s="41" t="s">
        <v>732</v>
      </c>
      <c r="C315" s="41" t="s">
        <v>106</v>
      </c>
      <c r="D315" s="41" t="s">
        <v>715</v>
      </c>
      <c r="E315" s="26">
        <v>0</v>
      </c>
      <c r="F315" s="26">
        <v>99999999</v>
      </c>
      <c r="G315" s="26"/>
      <c r="H315" s="26">
        <v>0</v>
      </c>
      <c r="M315" s="43" t="s">
        <v>1253</v>
      </c>
    </row>
    <row r="316" spans="1:25" x14ac:dyDescent="0.15">
      <c r="B316" s="41" t="s">
        <v>732</v>
      </c>
      <c r="C316" s="41" t="s">
        <v>107</v>
      </c>
      <c r="D316" s="41" t="s">
        <v>716</v>
      </c>
      <c r="E316" s="26">
        <v>0</v>
      </c>
      <c r="F316" s="26">
        <v>99999999</v>
      </c>
      <c r="G316" s="26"/>
      <c r="H316" s="26">
        <v>0</v>
      </c>
      <c r="M316" s="43" t="s">
        <v>1254</v>
      </c>
    </row>
    <row r="317" spans="1:25" x14ac:dyDescent="0.15">
      <c r="B317" s="41" t="s">
        <v>732</v>
      </c>
      <c r="C317" s="41" t="s">
        <v>155</v>
      </c>
      <c r="D317" s="41" t="s">
        <v>717</v>
      </c>
      <c r="E317" s="26">
        <v>0</v>
      </c>
      <c r="F317" s="26">
        <v>99999999</v>
      </c>
      <c r="G317" s="26"/>
      <c r="H317" s="26">
        <v>0</v>
      </c>
      <c r="M317" s="43" t="s">
        <v>1051</v>
      </c>
    </row>
    <row r="318" spans="1:25" x14ac:dyDescent="0.15">
      <c r="B318" s="41" t="s">
        <v>732</v>
      </c>
      <c r="C318" s="41" t="s">
        <v>156</v>
      </c>
      <c r="D318" s="41" t="s">
        <v>718</v>
      </c>
      <c r="E318" s="26">
        <v>0</v>
      </c>
      <c r="F318" s="26">
        <v>99999999</v>
      </c>
      <c r="G318" s="26"/>
      <c r="H318" s="26">
        <v>0</v>
      </c>
      <c r="I318" s="41"/>
      <c r="J318" s="41"/>
      <c r="K318" s="41"/>
      <c r="L318" s="41"/>
      <c r="M318" s="43" t="s">
        <v>1255</v>
      </c>
      <c r="N318" s="41"/>
      <c r="O318" s="41"/>
      <c r="P318" s="41"/>
      <c r="Q318" s="41"/>
      <c r="R318" s="41"/>
      <c r="S318" s="41"/>
      <c r="T318" s="41"/>
      <c r="U318" s="41"/>
      <c r="V318" s="41"/>
      <c r="W318" s="41"/>
      <c r="X318" s="41"/>
      <c r="Y318" s="41"/>
    </row>
    <row r="319" spans="1:25" x14ac:dyDescent="0.15">
      <c r="B319" s="41" t="s">
        <v>732</v>
      </c>
      <c r="C319" s="41" t="s">
        <v>157</v>
      </c>
      <c r="D319" s="41" t="s">
        <v>719</v>
      </c>
      <c r="E319" s="26">
        <v>0</v>
      </c>
      <c r="F319" s="26">
        <v>99999999</v>
      </c>
      <c r="G319" s="26"/>
      <c r="H319" s="26">
        <v>0</v>
      </c>
      <c r="M319" s="43" t="s">
        <v>1213</v>
      </c>
    </row>
    <row r="320" spans="1:25" x14ac:dyDescent="0.15">
      <c r="B320" s="41" t="s">
        <v>732</v>
      </c>
      <c r="C320" s="41" t="s">
        <v>158</v>
      </c>
      <c r="D320" s="41" t="s">
        <v>720</v>
      </c>
      <c r="E320" s="26">
        <v>0</v>
      </c>
      <c r="F320" s="26">
        <v>99999999</v>
      </c>
      <c r="G320" s="26"/>
      <c r="H320" s="26">
        <v>0</v>
      </c>
      <c r="M320" s="43" t="s">
        <v>1256</v>
      </c>
    </row>
    <row r="321" spans="1:13" x14ac:dyDescent="0.15">
      <c r="B321" s="41" t="s">
        <v>732</v>
      </c>
      <c r="C321" s="41" t="s">
        <v>159</v>
      </c>
      <c r="D321" s="41" t="s">
        <v>721</v>
      </c>
      <c r="E321" s="26">
        <v>0</v>
      </c>
      <c r="F321" s="26">
        <v>99999999</v>
      </c>
      <c r="G321" s="26"/>
      <c r="H321" s="26">
        <v>0</v>
      </c>
      <c r="M321" s="43" t="s">
        <v>1051</v>
      </c>
    </row>
    <row r="322" spans="1:13" x14ac:dyDescent="0.15">
      <c r="B322" s="41" t="s">
        <v>732</v>
      </c>
      <c r="C322" s="41" t="s">
        <v>160</v>
      </c>
      <c r="D322" s="41" t="s">
        <v>722</v>
      </c>
      <c r="E322" s="26">
        <v>0</v>
      </c>
      <c r="F322" s="26">
        <v>99999999</v>
      </c>
      <c r="G322" s="26"/>
      <c r="H322" s="26">
        <v>0</v>
      </c>
      <c r="M322" s="43" t="s">
        <v>1257</v>
      </c>
    </row>
    <row r="323" spans="1:13" x14ac:dyDescent="0.15">
      <c r="B323" s="41" t="s">
        <v>732</v>
      </c>
      <c r="C323" s="41" t="s">
        <v>161</v>
      </c>
      <c r="D323" s="41" t="s">
        <v>723</v>
      </c>
      <c r="E323" s="26">
        <v>0</v>
      </c>
      <c r="F323" s="26">
        <v>99999999</v>
      </c>
      <c r="G323" s="26"/>
      <c r="H323" s="26">
        <v>0</v>
      </c>
      <c r="M323" s="43" t="s">
        <v>1258</v>
      </c>
    </row>
    <row r="324" spans="1:13" x14ac:dyDescent="0.15">
      <c r="B324" s="41" t="s">
        <v>732</v>
      </c>
      <c r="C324" s="41" t="s">
        <v>162</v>
      </c>
      <c r="D324" s="41" t="s">
        <v>724</v>
      </c>
      <c r="E324" s="26">
        <v>0</v>
      </c>
      <c r="F324" s="26">
        <v>99999999</v>
      </c>
      <c r="G324" s="26"/>
      <c r="H324" s="26">
        <v>0</v>
      </c>
      <c r="M324" s="43" t="s">
        <v>1028</v>
      </c>
    </row>
    <row r="325" spans="1:13" x14ac:dyDescent="0.15">
      <c r="B325" s="41" t="s">
        <v>732</v>
      </c>
      <c r="C325" s="41" t="s">
        <v>163</v>
      </c>
      <c r="D325" s="41" t="s">
        <v>725</v>
      </c>
      <c r="E325" s="26">
        <v>0</v>
      </c>
      <c r="F325" s="26">
        <v>99999999</v>
      </c>
      <c r="G325" s="26"/>
      <c r="H325" s="26">
        <v>0</v>
      </c>
      <c r="M325" s="43" t="s">
        <v>1259</v>
      </c>
    </row>
    <row r="326" spans="1:13" x14ac:dyDescent="0.15">
      <c r="B326" s="41" t="s">
        <v>732</v>
      </c>
      <c r="C326" s="41" t="s">
        <v>280</v>
      </c>
      <c r="D326" s="41" t="s">
        <v>726</v>
      </c>
      <c r="E326" s="26">
        <v>0</v>
      </c>
      <c r="F326" s="26">
        <v>99999999</v>
      </c>
      <c r="G326" s="26"/>
      <c r="H326" s="26">
        <v>0</v>
      </c>
      <c r="M326" s="43" t="s">
        <v>1260</v>
      </c>
    </row>
    <row r="327" spans="1:13" x14ac:dyDescent="0.15">
      <c r="B327" s="41" t="s">
        <v>732</v>
      </c>
      <c r="C327" s="41" t="s">
        <v>281</v>
      </c>
      <c r="D327" s="41" t="s">
        <v>727</v>
      </c>
      <c r="E327" s="26">
        <v>0</v>
      </c>
      <c r="F327" s="26">
        <v>99999999</v>
      </c>
      <c r="G327" s="26"/>
      <c r="H327" s="26">
        <v>0</v>
      </c>
      <c r="M327" s="43" t="s">
        <v>1261</v>
      </c>
    </row>
    <row r="328" spans="1:13" x14ac:dyDescent="0.15">
      <c r="B328" s="41" t="s">
        <v>732</v>
      </c>
      <c r="C328" s="41" t="s">
        <v>282</v>
      </c>
      <c r="D328" s="41" t="s">
        <v>728</v>
      </c>
      <c r="E328" s="26">
        <v>0</v>
      </c>
      <c r="F328" s="26">
        <v>99999999</v>
      </c>
      <c r="G328" s="26"/>
      <c r="H328" s="26">
        <v>0</v>
      </c>
      <c r="M328" s="43" t="s">
        <v>1051</v>
      </c>
    </row>
    <row r="329" spans="1:13" x14ac:dyDescent="0.15">
      <c r="B329" s="41" t="s">
        <v>732</v>
      </c>
      <c r="C329" s="41" t="s">
        <v>283</v>
      </c>
      <c r="D329" s="41" t="s">
        <v>729</v>
      </c>
      <c r="E329" s="26">
        <v>0</v>
      </c>
      <c r="F329" s="26">
        <v>99999999</v>
      </c>
      <c r="G329" s="26"/>
      <c r="H329" s="26">
        <v>0</v>
      </c>
      <c r="M329" s="43" t="s">
        <v>1262</v>
      </c>
    </row>
    <row r="330" spans="1:13" x14ac:dyDescent="0.15">
      <c r="B330" s="41" t="s">
        <v>732</v>
      </c>
      <c r="C330" s="41" t="s">
        <v>284</v>
      </c>
      <c r="D330" s="41" t="s">
        <v>730</v>
      </c>
      <c r="E330" s="26">
        <v>0</v>
      </c>
      <c r="F330" s="26">
        <v>99999999</v>
      </c>
      <c r="G330" s="26"/>
      <c r="H330" s="26">
        <v>0</v>
      </c>
      <c r="M330" s="43" t="s">
        <v>1027</v>
      </c>
    </row>
    <row r="331" spans="1:13" x14ac:dyDescent="0.15">
      <c r="M331" s="43" t="s">
        <v>1028</v>
      </c>
    </row>
    <row r="332" spans="1:13" x14ac:dyDescent="0.15">
      <c r="A332" s="41" t="s">
        <v>754</v>
      </c>
      <c r="B332" s="41" t="s">
        <v>756</v>
      </c>
      <c r="C332" s="41" t="s">
        <v>755</v>
      </c>
      <c r="M332" s="43" t="s">
        <v>1259</v>
      </c>
    </row>
    <row r="333" spans="1:13" x14ac:dyDescent="0.15">
      <c r="B333" s="41" t="s">
        <v>757</v>
      </c>
      <c r="C333" s="41" t="s">
        <v>762</v>
      </c>
      <c r="D333" s="41" t="s">
        <v>758</v>
      </c>
      <c r="E333" s="26">
        <v>0</v>
      </c>
      <c r="F333" s="26">
        <v>99999999</v>
      </c>
      <c r="G333" s="26"/>
      <c r="H333" s="26">
        <v>1</v>
      </c>
      <c r="M333" s="43" t="s">
        <v>1263</v>
      </c>
    </row>
    <row r="334" spans="1:13" x14ac:dyDescent="0.15">
      <c r="B334" s="41" t="s">
        <v>759</v>
      </c>
      <c r="C334" s="41" t="s">
        <v>763</v>
      </c>
      <c r="D334" s="41" t="s">
        <v>760</v>
      </c>
      <c r="E334" s="26"/>
      <c r="F334" s="26">
        <v>16</v>
      </c>
      <c r="G334" s="26"/>
      <c r="H334" s="26" t="s">
        <v>123</v>
      </c>
      <c r="M334" s="43" t="s">
        <v>1264</v>
      </c>
    </row>
    <row r="335" spans="1:13" x14ac:dyDescent="0.15">
      <c r="M335" s="43" t="s">
        <v>1265</v>
      </c>
    </row>
    <row r="336" spans="1:13" x14ac:dyDescent="0.15">
      <c r="A336" s="41"/>
      <c r="B336" s="41"/>
      <c r="C336" s="41"/>
      <c r="D336" s="41"/>
      <c r="E336" s="41"/>
      <c r="F336" s="41"/>
      <c r="G336" s="41"/>
      <c r="H336" s="41"/>
      <c r="M336" s="43" t="s">
        <v>1031</v>
      </c>
    </row>
    <row r="337" spans="1:13" x14ac:dyDescent="0.15">
      <c r="A337" s="41" t="s">
        <v>893</v>
      </c>
      <c r="B337" s="29" t="s">
        <v>905</v>
      </c>
      <c r="C337" s="29" t="s">
        <v>257</v>
      </c>
      <c r="D337" s="41"/>
      <c r="E337" s="41"/>
      <c r="F337" s="41"/>
      <c r="G337" s="41"/>
      <c r="H337" s="41"/>
      <c r="M337" s="43" t="s">
        <v>1032</v>
      </c>
    </row>
    <row r="338" spans="1:13" x14ac:dyDescent="0.15">
      <c r="A338" s="41"/>
      <c r="B338" s="26" t="s">
        <v>97</v>
      </c>
      <c r="C338" s="29" t="s">
        <v>255</v>
      </c>
      <c r="D338" s="29" t="s">
        <v>254</v>
      </c>
      <c r="E338" s="26"/>
      <c r="F338" s="26"/>
      <c r="G338" s="26" t="s">
        <v>892</v>
      </c>
      <c r="H338" s="26">
        <v>-1</v>
      </c>
      <c r="M338" s="43" t="s">
        <v>1266</v>
      </c>
    </row>
    <row r="339" spans="1:13" x14ac:dyDescent="0.15">
      <c r="A339" s="41"/>
      <c r="B339" s="29" t="s">
        <v>256</v>
      </c>
      <c r="C339" s="29" t="s">
        <v>102</v>
      </c>
      <c r="D339" s="29" t="s">
        <v>258</v>
      </c>
      <c r="E339" s="29"/>
      <c r="F339" s="29">
        <v>16</v>
      </c>
      <c r="G339" s="29"/>
      <c r="H339" s="29" t="s">
        <v>422</v>
      </c>
      <c r="M339" s="43" t="s">
        <v>1033</v>
      </c>
    </row>
    <row r="340" spans="1:13" x14ac:dyDescent="0.15">
      <c r="A340" s="41"/>
      <c r="B340" s="26" t="s">
        <v>94</v>
      </c>
      <c r="C340" s="29" t="s">
        <v>103</v>
      </c>
      <c r="D340" s="29" t="s">
        <v>769</v>
      </c>
      <c r="E340" s="29"/>
      <c r="F340" s="29">
        <v>32</v>
      </c>
      <c r="G340" s="29"/>
      <c r="H340" s="29" t="s">
        <v>772</v>
      </c>
      <c r="M340" s="43" t="s">
        <v>1034</v>
      </c>
    </row>
    <row r="341" spans="1:13" x14ac:dyDescent="0.15">
      <c r="A341" s="41"/>
      <c r="B341" s="26" t="s">
        <v>98</v>
      </c>
      <c r="C341" s="29" t="s">
        <v>104</v>
      </c>
      <c r="D341" s="29" t="s">
        <v>894</v>
      </c>
      <c r="E341" s="29"/>
      <c r="F341" s="29"/>
      <c r="G341" s="29" t="s">
        <v>895</v>
      </c>
      <c r="H341" s="26">
        <v>0</v>
      </c>
      <c r="M341" s="43" t="s">
        <v>1267</v>
      </c>
    </row>
    <row r="342" spans="1:13" x14ac:dyDescent="0.15">
      <c r="B342" s="26" t="s">
        <v>896</v>
      </c>
      <c r="C342" s="29" t="s">
        <v>888</v>
      </c>
      <c r="D342" s="29" t="s">
        <v>897</v>
      </c>
      <c r="G342" s="41" t="s">
        <v>898</v>
      </c>
      <c r="H342">
        <v>-1</v>
      </c>
      <c r="M342" s="43" t="s">
        <v>1035</v>
      </c>
    </row>
    <row r="343" spans="1:13" x14ac:dyDescent="0.15">
      <c r="M343" s="43" t="s">
        <v>1036</v>
      </c>
    </row>
    <row r="344" spans="1:13" x14ac:dyDescent="0.15">
      <c r="A344" s="41" t="s">
        <v>907</v>
      </c>
      <c r="B344" s="29" t="s">
        <v>290</v>
      </c>
      <c r="C344" s="29" t="s">
        <v>257</v>
      </c>
      <c r="D344" s="41"/>
      <c r="E344" s="41"/>
      <c r="F344" s="41"/>
      <c r="G344" s="41"/>
      <c r="H344" s="41"/>
      <c r="M344" s="43" t="s">
        <v>1268</v>
      </c>
    </row>
    <row r="345" spans="1:13" x14ac:dyDescent="0.15">
      <c r="A345" s="41"/>
      <c r="B345" s="29" t="s">
        <v>253</v>
      </c>
      <c r="C345" s="29" t="s">
        <v>255</v>
      </c>
      <c r="D345" s="29" t="s">
        <v>254</v>
      </c>
      <c r="E345" s="29">
        <v>0</v>
      </c>
      <c r="F345" s="29">
        <v>99999999</v>
      </c>
      <c r="G345" s="29"/>
      <c r="H345" s="29">
        <v>1</v>
      </c>
      <c r="M345" s="43" t="s">
        <v>1269</v>
      </c>
    </row>
    <row r="346" spans="1:13" x14ac:dyDescent="0.15">
      <c r="A346" s="41"/>
      <c r="B346" s="29" t="s">
        <v>256</v>
      </c>
      <c r="C346" s="29" t="s">
        <v>102</v>
      </c>
      <c r="D346" s="29" t="s">
        <v>258</v>
      </c>
      <c r="E346" s="29"/>
      <c r="F346" s="29">
        <v>16</v>
      </c>
      <c r="G346" s="29"/>
      <c r="H346" s="29" t="s">
        <v>422</v>
      </c>
      <c r="M346" s="43" t="s">
        <v>1037</v>
      </c>
    </row>
    <row r="347" spans="1:13" x14ac:dyDescent="0.15">
      <c r="A347" s="41"/>
      <c r="B347" s="26" t="s">
        <v>94</v>
      </c>
      <c r="C347" s="29" t="s">
        <v>103</v>
      </c>
      <c r="D347" s="29" t="s">
        <v>769</v>
      </c>
      <c r="E347" s="29"/>
      <c r="F347" s="29">
        <v>32</v>
      </c>
      <c r="G347" s="29"/>
      <c r="H347" s="29" t="s">
        <v>772</v>
      </c>
      <c r="M347" s="43" t="s">
        <v>1038</v>
      </c>
    </row>
    <row r="348" spans="1:13" s="43" customFormat="1" x14ac:dyDescent="0.15">
      <c r="B348" s="26" t="s">
        <v>923</v>
      </c>
      <c r="C348" s="29" t="s">
        <v>924</v>
      </c>
      <c r="D348" s="29" t="s">
        <v>998</v>
      </c>
      <c r="E348" s="29"/>
      <c r="F348" s="29"/>
      <c r="G348" s="29" t="s">
        <v>925</v>
      </c>
      <c r="H348" s="29">
        <v>-1</v>
      </c>
      <c r="M348" s="43" t="s">
        <v>1039</v>
      </c>
    </row>
    <row r="349" spans="1:13" x14ac:dyDescent="0.15">
      <c r="A349" s="41"/>
      <c r="B349" s="26" t="s">
        <v>98</v>
      </c>
      <c r="C349" s="29" t="s">
        <v>104</v>
      </c>
      <c r="D349" s="29" t="s">
        <v>909</v>
      </c>
      <c r="E349" s="29"/>
      <c r="F349" s="29"/>
      <c r="G349" s="29" t="s">
        <v>908</v>
      </c>
      <c r="H349" s="26">
        <v>1</v>
      </c>
      <c r="M349" s="43" t="s">
        <v>1040</v>
      </c>
    </row>
    <row r="350" spans="1:13" x14ac:dyDescent="0.15">
      <c r="A350" s="41"/>
      <c r="B350" s="29" t="s">
        <v>984</v>
      </c>
      <c r="C350" s="29" t="s">
        <v>105</v>
      </c>
      <c r="D350" s="29" t="s">
        <v>886</v>
      </c>
      <c r="E350" s="41"/>
      <c r="F350" s="29"/>
      <c r="G350" s="29" t="s">
        <v>985</v>
      </c>
      <c r="H350" s="41">
        <v>-1</v>
      </c>
      <c r="M350" s="43" t="s">
        <v>1041</v>
      </c>
    </row>
    <row r="351" spans="1:13" x14ac:dyDescent="0.15">
      <c r="A351" s="41"/>
      <c r="B351" s="26" t="s">
        <v>98</v>
      </c>
      <c r="C351" s="29" t="s">
        <v>106</v>
      </c>
      <c r="D351" s="29" t="s">
        <v>771</v>
      </c>
      <c r="E351" s="29"/>
      <c r="F351" s="29"/>
      <c r="G351" s="29" t="s">
        <v>774</v>
      </c>
      <c r="H351" s="26">
        <v>-1</v>
      </c>
      <c r="M351" s="43" t="s">
        <v>1042</v>
      </c>
    </row>
    <row r="352" spans="1:13" x14ac:dyDescent="0.15">
      <c r="A352" s="41"/>
      <c r="B352" s="26" t="s">
        <v>896</v>
      </c>
      <c r="C352" s="29" t="s">
        <v>107</v>
      </c>
      <c r="D352" s="29" t="s">
        <v>899</v>
      </c>
      <c r="E352" s="29"/>
      <c r="F352" s="29"/>
      <c r="G352" s="29" t="s">
        <v>901</v>
      </c>
      <c r="H352" s="26">
        <v>1</v>
      </c>
      <c r="M352" s="43" t="s">
        <v>1043</v>
      </c>
    </row>
    <row r="353" spans="1:13" x14ac:dyDescent="0.15">
      <c r="A353" s="41"/>
      <c r="B353" s="29" t="s">
        <v>253</v>
      </c>
      <c r="C353" s="29" t="s">
        <v>155</v>
      </c>
      <c r="D353" s="29" t="s">
        <v>259</v>
      </c>
      <c r="E353" s="29">
        <v>0</v>
      </c>
      <c r="F353" s="29">
        <v>99999999</v>
      </c>
      <c r="G353" s="29"/>
      <c r="H353" s="29">
        <v>1</v>
      </c>
      <c r="M353" s="43" t="s">
        <v>1044</v>
      </c>
    </row>
    <row r="354" spans="1:13" x14ac:dyDescent="0.15">
      <c r="A354" s="41"/>
      <c r="B354" s="29" t="s">
        <v>253</v>
      </c>
      <c r="C354" s="29" t="s">
        <v>156</v>
      </c>
      <c r="D354" s="29" t="s">
        <v>260</v>
      </c>
      <c r="E354" s="29">
        <v>0</v>
      </c>
      <c r="F354" s="29">
        <v>99999999</v>
      </c>
      <c r="G354" s="29"/>
      <c r="H354" s="29">
        <v>1</v>
      </c>
      <c r="M354" s="43" t="s">
        <v>1045</v>
      </c>
    </row>
    <row r="355" spans="1:13" x14ac:dyDescent="0.15">
      <c r="A355" s="41"/>
      <c r="B355" s="29" t="s">
        <v>253</v>
      </c>
      <c r="C355" s="29" t="s">
        <v>157</v>
      </c>
      <c r="D355" s="29" t="s">
        <v>261</v>
      </c>
      <c r="E355" s="29">
        <v>0</v>
      </c>
      <c r="F355" s="29">
        <v>99999999</v>
      </c>
      <c r="G355" s="29"/>
      <c r="H355" s="29">
        <v>1</v>
      </c>
      <c r="M355" s="43" t="s">
        <v>1046</v>
      </c>
    </row>
    <row r="356" spans="1:13" x14ac:dyDescent="0.15">
      <c r="A356" s="41"/>
      <c r="B356" s="29" t="s">
        <v>253</v>
      </c>
      <c r="C356" s="29" t="s">
        <v>158</v>
      </c>
      <c r="D356" s="29" t="s">
        <v>262</v>
      </c>
      <c r="E356" s="29">
        <v>0</v>
      </c>
      <c r="F356" s="29">
        <v>99999999</v>
      </c>
      <c r="G356" s="29"/>
      <c r="H356" s="29">
        <v>1</v>
      </c>
      <c r="M356" s="43" t="s">
        <v>1047</v>
      </c>
    </row>
    <row r="357" spans="1:13" x14ac:dyDescent="0.15">
      <c r="A357" s="41"/>
      <c r="B357" s="29" t="s">
        <v>253</v>
      </c>
      <c r="C357" s="29" t="s">
        <v>159</v>
      </c>
      <c r="D357" s="29" t="s">
        <v>263</v>
      </c>
      <c r="E357" s="29">
        <v>0</v>
      </c>
      <c r="F357" s="29">
        <v>99999999</v>
      </c>
      <c r="G357" s="29"/>
      <c r="H357" s="29">
        <v>1</v>
      </c>
      <c r="M357" s="43" t="s">
        <v>1048</v>
      </c>
    </row>
    <row r="358" spans="1:13" x14ac:dyDescent="0.15">
      <c r="A358" s="41"/>
      <c r="B358" s="29" t="s">
        <v>253</v>
      </c>
      <c r="C358" s="29" t="s">
        <v>160</v>
      </c>
      <c r="D358" s="29" t="s">
        <v>264</v>
      </c>
      <c r="E358" s="29">
        <v>0</v>
      </c>
      <c r="F358" s="29">
        <v>99999999</v>
      </c>
      <c r="G358" s="29"/>
      <c r="H358" s="29">
        <v>1</v>
      </c>
      <c r="M358" s="43" t="s">
        <v>1049</v>
      </c>
    </row>
    <row r="359" spans="1:13" x14ac:dyDescent="0.15">
      <c r="A359" s="41"/>
      <c r="B359" s="29" t="s">
        <v>253</v>
      </c>
      <c r="C359" s="29" t="s">
        <v>161</v>
      </c>
      <c r="D359" s="29" t="s">
        <v>265</v>
      </c>
      <c r="E359" s="29">
        <v>0</v>
      </c>
      <c r="F359" s="29">
        <v>99999999</v>
      </c>
      <c r="G359" s="29"/>
      <c r="H359" s="29">
        <v>1</v>
      </c>
      <c r="M359" s="43" t="s">
        <v>1050</v>
      </c>
    </row>
    <row r="360" spans="1:13" x14ac:dyDescent="0.15">
      <c r="A360" s="41"/>
      <c r="B360" s="29" t="s">
        <v>253</v>
      </c>
      <c r="C360" s="29" t="s">
        <v>162</v>
      </c>
      <c r="D360" s="29" t="s">
        <v>266</v>
      </c>
      <c r="E360" s="29">
        <v>0</v>
      </c>
      <c r="F360" s="29">
        <v>99999999</v>
      </c>
      <c r="G360" s="29"/>
      <c r="H360" s="29">
        <v>1</v>
      </c>
      <c r="M360" s="43" t="s">
        <v>1051</v>
      </c>
    </row>
    <row r="361" spans="1:13" x14ac:dyDescent="0.15">
      <c r="A361" s="41"/>
      <c r="B361" s="29" t="s">
        <v>253</v>
      </c>
      <c r="C361" s="29" t="s">
        <v>163</v>
      </c>
      <c r="D361" s="29" t="s">
        <v>267</v>
      </c>
      <c r="E361" s="29">
        <v>0</v>
      </c>
      <c r="F361" s="29">
        <v>99999999</v>
      </c>
      <c r="G361" s="29"/>
      <c r="H361" s="29">
        <v>1</v>
      </c>
      <c r="M361" s="43" t="s">
        <v>1270</v>
      </c>
    </row>
    <row r="362" spans="1:13" x14ac:dyDescent="0.15">
      <c r="A362" s="41"/>
      <c r="B362" s="29" t="s">
        <v>253</v>
      </c>
      <c r="C362" s="29" t="s">
        <v>280</v>
      </c>
      <c r="D362" s="29" t="s">
        <v>268</v>
      </c>
      <c r="E362" s="29">
        <v>0</v>
      </c>
      <c r="F362" s="29">
        <v>99999999</v>
      </c>
      <c r="G362" s="29"/>
      <c r="H362" s="29">
        <v>1</v>
      </c>
      <c r="M362" s="43" t="s">
        <v>1027</v>
      </c>
    </row>
    <row r="363" spans="1:13" x14ac:dyDescent="0.15">
      <c r="A363" s="41"/>
      <c r="B363" s="29" t="s">
        <v>253</v>
      </c>
      <c r="C363" s="29" t="s">
        <v>281</v>
      </c>
      <c r="D363" s="29" t="s">
        <v>269</v>
      </c>
      <c r="E363" s="29">
        <v>0</v>
      </c>
      <c r="F363" s="29">
        <v>99999999</v>
      </c>
      <c r="G363" s="29"/>
      <c r="H363" s="29">
        <v>1</v>
      </c>
      <c r="M363" s="43" t="s">
        <v>1271</v>
      </c>
    </row>
    <row r="364" spans="1:13" x14ac:dyDescent="0.15">
      <c r="A364" s="41"/>
      <c r="B364" s="29" t="s">
        <v>253</v>
      </c>
      <c r="C364" s="29" t="s">
        <v>282</v>
      </c>
      <c r="D364" s="29" t="s">
        <v>270</v>
      </c>
      <c r="E364" s="29">
        <v>0</v>
      </c>
      <c r="F364" s="29">
        <v>99999999</v>
      </c>
      <c r="G364" s="29"/>
      <c r="H364" s="29">
        <v>1</v>
      </c>
      <c r="M364" s="43" t="s">
        <v>1272</v>
      </c>
    </row>
    <row r="365" spans="1:13" x14ac:dyDescent="0.15">
      <c r="A365" s="41"/>
      <c r="B365" s="29" t="s">
        <v>253</v>
      </c>
      <c r="C365" s="29" t="s">
        <v>283</v>
      </c>
      <c r="D365" s="29" t="s">
        <v>271</v>
      </c>
      <c r="E365" s="29">
        <v>0</v>
      </c>
      <c r="F365" s="29">
        <v>99999999</v>
      </c>
      <c r="G365" s="29"/>
      <c r="H365" s="29">
        <v>1</v>
      </c>
      <c r="M365" s="43" t="s">
        <v>1273</v>
      </c>
    </row>
    <row r="366" spans="1:13" x14ac:dyDescent="0.15">
      <c r="A366" s="41"/>
      <c r="B366" s="29" t="s">
        <v>253</v>
      </c>
      <c r="C366" s="29" t="s">
        <v>284</v>
      </c>
      <c r="D366" s="29" t="s">
        <v>272</v>
      </c>
      <c r="E366" s="29">
        <v>0</v>
      </c>
      <c r="F366" s="29">
        <v>99999999</v>
      </c>
      <c r="G366" s="29"/>
      <c r="H366" s="29">
        <v>1</v>
      </c>
      <c r="M366" s="43" t="s">
        <v>1274</v>
      </c>
    </row>
    <row r="367" spans="1:13" x14ac:dyDescent="0.15">
      <c r="A367" s="41"/>
      <c r="B367" s="29" t="s">
        <v>253</v>
      </c>
      <c r="C367" s="29" t="s">
        <v>285</v>
      </c>
      <c r="D367" s="29" t="s">
        <v>273</v>
      </c>
      <c r="E367" s="29">
        <v>0</v>
      </c>
      <c r="F367" s="29">
        <v>99999999</v>
      </c>
      <c r="G367" s="29"/>
      <c r="H367" s="29">
        <v>1</v>
      </c>
      <c r="M367" s="43" t="s">
        <v>1275</v>
      </c>
    </row>
    <row r="368" spans="1:13" x14ac:dyDescent="0.15">
      <c r="A368" s="41"/>
      <c r="B368" s="29" t="s">
        <v>253</v>
      </c>
      <c r="C368" s="29" t="s">
        <v>286</v>
      </c>
      <c r="D368" s="29" t="s">
        <v>274</v>
      </c>
      <c r="E368" s="29">
        <v>0</v>
      </c>
      <c r="F368" s="29">
        <v>99999999</v>
      </c>
      <c r="G368" s="29"/>
      <c r="H368" s="29">
        <v>1</v>
      </c>
      <c r="M368" s="43" t="s">
        <v>1276</v>
      </c>
    </row>
    <row r="369" spans="1:17" x14ac:dyDescent="0.15">
      <c r="A369" s="41"/>
      <c r="B369" s="29" t="s">
        <v>253</v>
      </c>
      <c r="C369" s="29" t="s">
        <v>287</v>
      </c>
      <c r="D369" s="29" t="s">
        <v>275</v>
      </c>
      <c r="E369" s="29">
        <v>0</v>
      </c>
      <c r="F369" s="29">
        <v>99999999</v>
      </c>
      <c r="G369" s="29"/>
      <c r="H369" s="29">
        <v>1</v>
      </c>
      <c r="M369" s="43" t="s">
        <v>1277</v>
      </c>
    </row>
    <row r="370" spans="1:17" x14ac:dyDescent="0.15">
      <c r="A370" s="41"/>
      <c r="B370" s="29" t="s">
        <v>253</v>
      </c>
      <c r="C370" s="29" t="s">
        <v>393</v>
      </c>
      <c r="D370" s="29" t="s">
        <v>276</v>
      </c>
      <c r="E370" s="29">
        <v>0</v>
      </c>
      <c r="F370" s="29">
        <v>99999999</v>
      </c>
      <c r="G370" s="29"/>
      <c r="H370" s="29">
        <v>1</v>
      </c>
      <c r="M370" s="43" t="s">
        <v>1278</v>
      </c>
    </row>
    <row r="371" spans="1:17" x14ac:dyDescent="0.15">
      <c r="A371" s="41"/>
      <c r="B371" s="29" t="s">
        <v>253</v>
      </c>
      <c r="C371" s="29" t="s">
        <v>394</v>
      </c>
      <c r="D371" s="29" t="s">
        <v>277</v>
      </c>
      <c r="E371" s="29">
        <v>0</v>
      </c>
      <c r="F371" s="29">
        <v>99999999</v>
      </c>
      <c r="G371" s="29"/>
      <c r="H371" s="29">
        <v>1</v>
      </c>
      <c r="M371" s="43" t="s">
        <v>1279</v>
      </c>
    </row>
    <row r="372" spans="1:17" x14ac:dyDescent="0.15">
      <c r="A372" s="41"/>
      <c r="B372" s="29" t="s">
        <v>253</v>
      </c>
      <c r="C372" s="29" t="s">
        <v>395</v>
      </c>
      <c r="D372" s="29" t="s">
        <v>278</v>
      </c>
      <c r="E372" s="29">
        <v>0</v>
      </c>
      <c r="F372" s="29">
        <v>99999999</v>
      </c>
      <c r="G372" s="29"/>
      <c r="H372" s="29">
        <v>1</v>
      </c>
      <c r="M372" s="43" t="s">
        <v>1301</v>
      </c>
    </row>
    <row r="373" spans="1:17" x14ac:dyDescent="0.15">
      <c r="A373" s="41"/>
      <c r="B373" s="29" t="s">
        <v>253</v>
      </c>
      <c r="C373" s="29" t="s">
        <v>438</v>
      </c>
      <c r="D373" s="29" t="s">
        <v>279</v>
      </c>
      <c r="E373" s="29">
        <v>0</v>
      </c>
      <c r="F373" s="29">
        <v>99999999</v>
      </c>
      <c r="G373" s="29"/>
      <c r="H373" s="29">
        <v>1</v>
      </c>
      <c r="M373" s="43" t="s">
        <v>1302</v>
      </c>
    </row>
    <row r="374" spans="1:17" x14ac:dyDescent="0.15">
      <c r="A374" s="41"/>
      <c r="B374" s="29" t="s">
        <v>288</v>
      </c>
      <c r="C374" s="29" t="s">
        <v>439</v>
      </c>
      <c r="D374" s="29" t="s">
        <v>885</v>
      </c>
      <c r="E374" s="29"/>
      <c r="F374" s="29"/>
      <c r="G374" s="29" t="s">
        <v>459</v>
      </c>
      <c r="H374" s="29">
        <v>-1</v>
      </c>
      <c r="M374" s="43" t="s">
        <v>1303</v>
      </c>
    </row>
    <row r="375" spans="1:17" x14ac:dyDescent="0.15">
      <c r="A375" s="41"/>
      <c r="B375" s="29"/>
      <c r="C375" s="29"/>
      <c r="D375" s="29"/>
      <c r="E375" s="29"/>
      <c r="F375" s="29"/>
      <c r="G375" s="29"/>
      <c r="H375" s="29"/>
      <c r="M375" s="43" t="s">
        <v>1304</v>
      </c>
    </row>
    <row r="376" spans="1:17" x14ac:dyDescent="0.15">
      <c r="A376" s="41" t="s">
        <v>910</v>
      </c>
      <c r="B376" s="29" t="s">
        <v>997</v>
      </c>
      <c r="C376" s="29" t="s">
        <v>257</v>
      </c>
      <c r="E376" s="42"/>
      <c r="F376" s="42"/>
      <c r="G376" s="42"/>
      <c r="H376" s="42"/>
      <c r="I376" s="42"/>
      <c r="J376" s="42"/>
      <c r="K376" s="42"/>
      <c r="L376" s="42"/>
      <c r="M376" s="43" t="s">
        <v>1305</v>
      </c>
      <c r="N376" s="42"/>
      <c r="O376" s="42"/>
      <c r="P376" s="42"/>
      <c r="Q376" s="42"/>
    </row>
    <row r="377" spans="1:17" x14ac:dyDescent="0.15">
      <c r="B377" s="43" t="s">
        <v>95</v>
      </c>
      <c r="C377" s="29" t="s">
        <v>918</v>
      </c>
      <c r="D377" s="41" t="s">
        <v>919</v>
      </c>
      <c r="E377" s="29">
        <v>0</v>
      </c>
      <c r="F377" s="29">
        <v>99999999</v>
      </c>
      <c r="G377" s="29"/>
      <c r="H377" s="29">
        <v>1</v>
      </c>
      <c r="M377" s="43" t="s">
        <v>1306</v>
      </c>
    </row>
    <row r="378" spans="1:17" x14ac:dyDescent="0.15">
      <c r="B378" s="43" t="s">
        <v>94</v>
      </c>
      <c r="C378" s="29" t="s">
        <v>102</v>
      </c>
      <c r="D378" s="41" t="s">
        <v>920</v>
      </c>
      <c r="E378" s="26"/>
      <c r="F378" s="26">
        <v>16</v>
      </c>
      <c r="G378" s="26"/>
      <c r="H378" s="26" t="s">
        <v>123</v>
      </c>
      <c r="M378" s="43" t="s">
        <v>1307</v>
      </c>
    </row>
    <row r="379" spans="1:17" x14ac:dyDescent="0.15">
      <c r="B379" s="43" t="s">
        <v>94</v>
      </c>
      <c r="C379" s="29" t="s">
        <v>103</v>
      </c>
      <c r="D379" s="42" t="s">
        <v>911</v>
      </c>
      <c r="E379" s="26"/>
      <c r="F379" s="26">
        <v>16</v>
      </c>
      <c r="G379" s="26"/>
      <c r="H379" s="26" t="s">
        <v>123</v>
      </c>
      <c r="M379" s="43" t="s">
        <v>1308</v>
      </c>
    </row>
    <row r="380" spans="1:17" x14ac:dyDescent="0.15">
      <c r="B380" s="43" t="s">
        <v>94</v>
      </c>
      <c r="C380" s="29" t="s">
        <v>104</v>
      </c>
      <c r="D380" s="42" t="s">
        <v>912</v>
      </c>
      <c r="E380" s="26"/>
      <c r="F380" s="26">
        <v>16</v>
      </c>
      <c r="G380" s="26"/>
      <c r="H380" s="26" t="s">
        <v>123</v>
      </c>
      <c r="M380" s="43" t="s">
        <v>1309</v>
      </c>
    </row>
    <row r="381" spans="1:17" x14ac:dyDescent="0.15">
      <c r="B381" s="43" t="s">
        <v>94</v>
      </c>
      <c r="C381" s="29" t="s">
        <v>105</v>
      </c>
      <c r="D381" s="42" t="s">
        <v>913</v>
      </c>
      <c r="E381" s="26"/>
      <c r="F381" s="26">
        <v>16</v>
      </c>
      <c r="G381" s="26"/>
      <c r="H381" s="26" t="s">
        <v>123</v>
      </c>
      <c r="M381" s="43" t="s">
        <v>1310</v>
      </c>
    </row>
    <row r="382" spans="1:17" x14ac:dyDescent="0.15">
      <c r="B382" s="43" t="s">
        <v>94</v>
      </c>
      <c r="C382" s="29" t="s">
        <v>106</v>
      </c>
      <c r="D382" s="42" t="s">
        <v>914</v>
      </c>
      <c r="E382" s="26"/>
      <c r="F382" s="26">
        <v>16</v>
      </c>
      <c r="G382" s="26"/>
      <c r="H382" s="26" t="s">
        <v>123</v>
      </c>
      <c r="M382" s="43" t="s">
        <v>1311</v>
      </c>
    </row>
    <row r="383" spans="1:17" x14ac:dyDescent="0.15">
      <c r="B383" s="43" t="s">
        <v>94</v>
      </c>
      <c r="C383" s="29" t="s">
        <v>107</v>
      </c>
      <c r="D383" s="42" t="s">
        <v>915</v>
      </c>
      <c r="E383" s="26"/>
      <c r="F383" s="26">
        <v>16</v>
      </c>
      <c r="G383" s="26"/>
      <c r="H383" s="26" t="s">
        <v>123</v>
      </c>
      <c r="M383" s="43" t="s">
        <v>1312</v>
      </c>
    </row>
    <row r="384" spans="1:17" x14ac:dyDescent="0.15">
      <c r="B384" s="43" t="s">
        <v>96</v>
      </c>
      <c r="C384" s="29" t="s">
        <v>155</v>
      </c>
      <c r="D384" s="42" t="s">
        <v>916</v>
      </c>
      <c r="E384" s="26">
        <v>0</v>
      </c>
      <c r="F384" s="26">
        <v>99999999</v>
      </c>
      <c r="G384" s="26"/>
      <c r="H384" s="26">
        <v>0</v>
      </c>
      <c r="M384" s="43" t="s">
        <v>1313</v>
      </c>
    </row>
    <row r="385" spans="2:16" x14ac:dyDescent="0.15">
      <c r="B385" s="43" t="s">
        <v>96</v>
      </c>
      <c r="C385" s="29" t="s">
        <v>156</v>
      </c>
      <c r="D385" s="42" t="s">
        <v>917</v>
      </c>
      <c r="E385" s="26">
        <v>0</v>
      </c>
      <c r="F385" s="26">
        <v>99999999</v>
      </c>
      <c r="G385" s="26"/>
      <c r="H385" s="26">
        <v>0</v>
      </c>
      <c r="M385" s="43" t="s">
        <v>1314</v>
      </c>
    </row>
    <row r="386" spans="2:16" x14ac:dyDescent="0.15">
      <c r="B386" s="26" t="s">
        <v>97</v>
      </c>
      <c r="C386" s="29" t="s">
        <v>157</v>
      </c>
      <c r="D386" s="41" t="s">
        <v>921</v>
      </c>
      <c r="G386" s="41" t="s">
        <v>922</v>
      </c>
      <c r="H386" s="29">
        <v>-1</v>
      </c>
      <c r="M386" s="43" t="s">
        <v>1315</v>
      </c>
    </row>
    <row r="387" spans="2:16" x14ac:dyDescent="0.15">
      <c r="B387" s="29" t="s">
        <v>288</v>
      </c>
      <c r="C387" s="29" t="s">
        <v>439</v>
      </c>
      <c r="D387" s="29" t="s">
        <v>1003</v>
      </c>
      <c r="E387" s="29"/>
      <c r="F387" s="29"/>
      <c r="G387" s="29" t="s">
        <v>459</v>
      </c>
      <c r="H387" s="29">
        <v>-1</v>
      </c>
      <c r="M387" s="43" t="s">
        <v>1316</v>
      </c>
    </row>
    <row r="388" spans="2:16" x14ac:dyDescent="0.15">
      <c r="B388" s="29" t="s">
        <v>288</v>
      </c>
      <c r="C388" s="29" t="s">
        <v>440</v>
      </c>
      <c r="D388" s="29" t="s">
        <v>1004</v>
      </c>
      <c r="E388" s="29"/>
      <c r="F388" s="29"/>
      <c r="G388" s="29" t="s">
        <v>459</v>
      </c>
      <c r="H388" s="29">
        <v>0</v>
      </c>
      <c r="M388" s="43" t="s">
        <v>1317</v>
      </c>
    </row>
    <row r="389" spans="2:16" x14ac:dyDescent="0.15">
      <c r="B389" s="29" t="s">
        <v>288</v>
      </c>
      <c r="C389" s="29" t="s">
        <v>441</v>
      </c>
      <c r="D389" s="29" t="s">
        <v>1005</v>
      </c>
      <c r="E389" s="29"/>
      <c r="F389" s="29"/>
      <c r="G389" s="29" t="s">
        <v>459</v>
      </c>
      <c r="H389" s="29">
        <v>1</v>
      </c>
      <c r="I389" s="43"/>
      <c r="J389" s="43"/>
      <c r="K389" s="43"/>
      <c r="L389" s="43"/>
      <c r="M389" s="43" t="s">
        <v>1318</v>
      </c>
      <c r="N389" s="43"/>
      <c r="O389" s="43"/>
      <c r="P389" s="43"/>
    </row>
    <row r="390" spans="2:16" x14ac:dyDescent="0.15">
      <c r="B390" s="29" t="s">
        <v>288</v>
      </c>
      <c r="C390" s="29" t="s">
        <v>442</v>
      </c>
      <c r="D390" s="29" t="s">
        <v>1006</v>
      </c>
      <c r="E390" s="29"/>
      <c r="F390" s="29"/>
      <c r="G390" s="29" t="s">
        <v>459</v>
      </c>
      <c r="H390" s="29">
        <v>2</v>
      </c>
      <c r="M390" s="43" t="s">
        <v>1319</v>
      </c>
    </row>
    <row r="391" spans="2:16" x14ac:dyDescent="0.15">
      <c r="B391" s="29" t="s">
        <v>288</v>
      </c>
      <c r="C391" s="29" t="s">
        <v>443</v>
      </c>
      <c r="D391" s="29" t="s">
        <v>1007</v>
      </c>
      <c r="E391" s="29"/>
      <c r="F391" s="29"/>
      <c r="G391" s="29" t="s">
        <v>459</v>
      </c>
      <c r="H391" s="29">
        <v>3</v>
      </c>
      <c r="M391" s="43" t="s">
        <v>1320</v>
      </c>
    </row>
    <row r="392" spans="2:16" x14ac:dyDescent="0.15">
      <c r="B392" s="29" t="s">
        <v>288</v>
      </c>
      <c r="C392" s="29" t="s">
        <v>444</v>
      </c>
      <c r="D392" s="29" t="s">
        <v>1008</v>
      </c>
      <c r="E392" s="29"/>
      <c r="F392" s="29"/>
      <c r="G392" s="29" t="s">
        <v>459</v>
      </c>
      <c r="H392" s="29">
        <v>4</v>
      </c>
      <c r="M392" s="43" t="s">
        <v>135</v>
      </c>
    </row>
    <row r="393" spans="2:16" x14ac:dyDescent="0.15">
      <c r="B393" s="29" t="s">
        <v>288</v>
      </c>
      <c r="C393" s="29" t="s">
        <v>445</v>
      </c>
      <c r="D393" s="29" t="s">
        <v>1009</v>
      </c>
      <c r="E393" s="29"/>
      <c r="F393" s="29"/>
      <c r="G393" s="29" t="s">
        <v>459</v>
      </c>
      <c r="H393" s="29">
        <v>5</v>
      </c>
    </row>
    <row r="394" spans="2:16" x14ac:dyDescent="0.15">
      <c r="B394" s="29" t="s">
        <v>288</v>
      </c>
      <c r="C394" s="29" t="s">
        <v>446</v>
      </c>
      <c r="D394" s="29" t="s">
        <v>1010</v>
      </c>
      <c r="E394" s="29"/>
      <c r="F394" s="29"/>
      <c r="G394" s="29" t="s">
        <v>459</v>
      </c>
      <c r="H394" s="29">
        <v>6</v>
      </c>
    </row>
    <row r="395" spans="2:16" x14ac:dyDescent="0.15">
      <c r="B395" s="29" t="s">
        <v>288</v>
      </c>
      <c r="C395" s="29" t="s">
        <v>447</v>
      </c>
      <c r="D395" s="29" t="s">
        <v>1011</v>
      </c>
      <c r="E395" s="29"/>
      <c r="F395" s="29"/>
      <c r="G395" s="29" t="s">
        <v>459</v>
      </c>
      <c r="H395" s="29">
        <v>7</v>
      </c>
    </row>
    <row r="396" spans="2:16" x14ac:dyDescent="0.15">
      <c r="B396" s="29" t="s">
        <v>288</v>
      </c>
      <c r="C396" s="29" t="s">
        <v>448</v>
      </c>
      <c r="D396" s="29" t="s">
        <v>1012</v>
      </c>
      <c r="E396" s="29"/>
      <c r="F396" s="29"/>
      <c r="G396" s="29" t="s">
        <v>459</v>
      </c>
      <c r="H396" s="29">
        <v>8</v>
      </c>
    </row>
    <row r="397" spans="2:16" x14ac:dyDescent="0.15">
      <c r="B397" s="29" t="s">
        <v>288</v>
      </c>
      <c r="C397" s="29" t="s">
        <v>449</v>
      </c>
      <c r="D397" s="29" t="s">
        <v>1013</v>
      </c>
      <c r="E397" s="29"/>
      <c r="F397" s="29"/>
      <c r="G397" s="29" t="s">
        <v>459</v>
      </c>
      <c r="H397" s="29">
        <v>9</v>
      </c>
    </row>
    <row r="398" spans="2:16" x14ac:dyDescent="0.15">
      <c r="B398" s="29" t="s">
        <v>288</v>
      </c>
      <c r="C398" s="29" t="s">
        <v>498</v>
      </c>
      <c r="D398" s="29" t="s">
        <v>1014</v>
      </c>
      <c r="E398" s="29"/>
      <c r="F398" s="29"/>
      <c r="G398" s="29" t="s">
        <v>459</v>
      </c>
      <c r="H398" s="29">
        <v>10</v>
      </c>
    </row>
    <row r="399" spans="2:16" x14ac:dyDescent="0.15">
      <c r="B399" s="29" t="s">
        <v>288</v>
      </c>
      <c r="C399" s="29" t="s">
        <v>807</v>
      </c>
      <c r="D399" s="29" t="s">
        <v>1015</v>
      </c>
      <c r="E399" s="29"/>
      <c r="F399" s="29"/>
      <c r="G399" s="29" t="s">
        <v>459</v>
      </c>
      <c r="H399" s="29">
        <v>11</v>
      </c>
    </row>
    <row r="400" spans="2:16" x14ac:dyDescent="0.15">
      <c r="B400" s="29" t="s">
        <v>288</v>
      </c>
      <c r="C400" s="29" t="s">
        <v>808</v>
      </c>
      <c r="D400" s="29" t="s">
        <v>1016</v>
      </c>
      <c r="E400" s="29"/>
      <c r="F400" s="29"/>
      <c r="G400" s="29" t="s">
        <v>459</v>
      </c>
      <c r="H400" s="29">
        <v>12</v>
      </c>
    </row>
    <row r="401" spans="1:8" x14ac:dyDescent="0.15">
      <c r="B401" s="29" t="s">
        <v>288</v>
      </c>
      <c r="C401" s="29" t="s">
        <v>809</v>
      </c>
      <c r="D401" s="29" t="s">
        <v>1017</v>
      </c>
      <c r="E401" s="29"/>
      <c r="F401" s="29"/>
      <c r="G401" s="29" t="s">
        <v>459</v>
      </c>
      <c r="H401" s="29">
        <v>13</v>
      </c>
    </row>
    <row r="402" spans="1:8" x14ac:dyDescent="0.15">
      <c r="B402" s="29" t="s">
        <v>288</v>
      </c>
      <c r="C402" s="29" t="s">
        <v>811</v>
      </c>
      <c r="D402" s="29" t="s">
        <v>1018</v>
      </c>
      <c r="E402" s="29"/>
      <c r="F402" s="29"/>
      <c r="G402" s="29" t="s">
        <v>459</v>
      </c>
      <c r="H402" s="29">
        <v>14</v>
      </c>
    </row>
    <row r="403" spans="1:8" x14ac:dyDescent="0.15">
      <c r="B403" s="29" t="s">
        <v>288</v>
      </c>
      <c r="C403" s="29" t="s">
        <v>813</v>
      </c>
      <c r="D403" s="29" t="s">
        <v>1019</v>
      </c>
      <c r="E403" s="29"/>
      <c r="F403" s="29"/>
      <c r="G403" s="29" t="s">
        <v>459</v>
      </c>
      <c r="H403" s="29">
        <v>15</v>
      </c>
    </row>
    <row r="404" spans="1:8" x14ac:dyDescent="0.15">
      <c r="B404" s="29" t="s">
        <v>288</v>
      </c>
      <c r="C404" s="29" t="s">
        <v>1020</v>
      </c>
      <c r="D404" s="29" t="s">
        <v>1021</v>
      </c>
      <c r="E404" s="29"/>
      <c r="F404" s="29"/>
      <c r="G404" s="29" t="s">
        <v>459</v>
      </c>
      <c r="H404" s="29">
        <v>16</v>
      </c>
    </row>
    <row r="405" spans="1:8" x14ac:dyDescent="0.15">
      <c r="B405" s="29" t="s">
        <v>288</v>
      </c>
      <c r="C405" s="29" t="s">
        <v>1022</v>
      </c>
      <c r="D405" s="29" t="s">
        <v>1023</v>
      </c>
      <c r="E405" s="29"/>
      <c r="F405" s="29"/>
      <c r="G405" s="29" t="s">
        <v>459</v>
      </c>
      <c r="H405" s="29">
        <v>17</v>
      </c>
    </row>
    <row r="406" spans="1:8" x14ac:dyDescent="0.15">
      <c r="B406" s="29" t="s">
        <v>288</v>
      </c>
      <c r="C406" s="29" t="s">
        <v>1024</v>
      </c>
      <c r="D406" s="29" t="s">
        <v>1025</v>
      </c>
      <c r="E406" s="29"/>
      <c r="F406" s="29"/>
      <c r="G406" s="29" t="s">
        <v>459</v>
      </c>
      <c r="H406" s="29">
        <v>18</v>
      </c>
    </row>
    <row r="407" spans="1:8" x14ac:dyDescent="0.15">
      <c r="B407" s="29"/>
      <c r="C407" s="29"/>
      <c r="D407" s="29"/>
      <c r="E407" s="29"/>
      <c r="F407" s="29"/>
      <c r="G407" s="29"/>
      <c r="H407" s="29"/>
    </row>
    <row r="408" spans="1:8" x14ac:dyDescent="0.15">
      <c r="A408" s="43" t="s">
        <v>1321</v>
      </c>
      <c r="B408" s="29" t="s">
        <v>1322</v>
      </c>
      <c r="C408" s="29" t="s">
        <v>1323</v>
      </c>
      <c r="D408" s="29"/>
      <c r="E408" s="29"/>
      <c r="F408" s="29"/>
      <c r="G408" s="29"/>
      <c r="H408" s="29"/>
    </row>
    <row r="409" spans="1:8" x14ac:dyDescent="0.15">
      <c r="B409" s="43" t="s">
        <v>95</v>
      </c>
      <c r="C409" s="29" t="s">
        <v>1352</v>
      </c>
      <c r="D409" s="44" t="s">
        <v>1324</v>
      </c>
      <c r="E409" s="26">
        <v>0</v>
      </c>
      <c r="F409" s="26">
        <v>99999999</v>
      </c>
      <c r="G409" s="26"/>
      <c r="H409" s="26">
        <v>1</v>
      </c>
    </row>
    <row r="410" spans="1:8" x14ac:dyDescent="0.15">
      <c r="B410" s="29" t="s">
        <v>1351</v>
      </c>
      <c r="C410" s="29" t="s">
        <v>102</v>
      </c>
      <c r="D410" s="44" t="s">
        <v>1325</v>
      </c>
      <c r="E410" s="26"/>
      <c r="F410" s="26">
        <v>16</v>
      </c>
      <c r="G410" s="26"/>
      <c r="H410" s="26" t="s">
        <v>123</v>
      </c>
    </row>
    <row r="411" spans="1:8" x14ac:dyDescent="0.15">
      <c r="B411" s="43" t="s">
        <v>95</v>
      </c>
      <c r="C411" s="29" t="s">
        <v>103</v>
      </c>
      <c r="D411" s="44" t="s">
        <v>1326</v>
      </c>
      <c r="E411" s="26">
        <v>0</v>
      </c>
      <c r="F411" s="26">
        <v>99999999</v>
      </c>
      <c r="G411" s="26"/>
      <c r="H411" s="26">
        <v>1</v>
      </c>
    </row>
    <row r="412" spans="1:8" x14ac:dyDescent="0.15">
      <c r="B412" s="29" t="s">
        <v>1351</v>
      </c>
      <c r="C412" s="29" t="s">
        <v>104</v>
      </c>
      <c r="D412" s="44" t="s">
        <v>1353</v>
      </c>
      <c r="E412" s="26"/>
      <c r="F412" s="26">
        <v>16</v>
      </c>
      <c r="G412" s="26"/>
      <c r="H412" s="26" t="s">
        <v>123</v>
      </c>
    </row>
    <row r="413" spans="1:8" x14ac:dyDescent="0.15">
      <c r="B413" s="43" t="s">
        <v>95</v>
      </c>
      <c r="C413" s="29" t="s">
        <v>105</v>
      </c>
      <c r="D413" s="44" t="s">
        <v>1327</v>
      </c>
      <c r="E413" s="26">
        <v>-1</v>
      </c>
      <c r="F413" s="26">
        <v>99999999</v>
      </c>
      <c r="G413" s="26"/>
      <c r="H413" s="26">
        <v>-1</v>
      </c>
    </row>
    <row r="414" spans="1:8" x14ac:dyDescent="0.15">
      <c r="B414" s="26" t="s">
        <v>97</v>
      </c>
      <c r="C414" s="29" t="s">
        <v>106</v>
      </c>
      <c r="D414" s="44" t="s">
        <v>1328</v>
      </c>
      <c r="E414" s="26"/>
      <c r="F414" s="26"/>
      <c r="G414" s="26" t="s">
        <v>754</v>
      </c>
      <c r="H414" s="26">
        <v>-1</v>
      </c>
    </row>
    <row r="415" spans="1:8" x14ac:dyDescent="0.15">
      <c r="B415" s="43" t="s">
        <v>95</v>
      </c>
      <c r="C415" s="29" t="s">
        <v>107</v>
      </c>
      <c r="D415" s="44" t="s">
        <v>1329</v>
      </c>
      <c r="E415" s="26">
        <v>-9999999</v>
      </c>
      <c r="F415" s="26">
        <v>9999999</v>
      </c>
      <c r="G415" s="26"/>
      <c r="H415" s="26">
        <v>0</v>
      </c>
    </row>
    <row r="416" spans="1:8" x14ac:dyDescent="0.15">
      <c r="B416" s="26" t="s">
        <v>97</v>
      </c>
      <c r="C416" s="29" t="s">
        <v>155</v>
      </c>
      <c r="D416" s="44" t="s">
        <v>1330</v>
      </c>
      <c r="E416" s="26"/>
      <c r="F416" s="26"/>
      <c r="G416" s="26" t="s">
        <v>754</v>
      </c>
      <c r="H416" s="26">
        <v>-1</v>
      </c>
    </row>
    <row r="417" spans="2:8" x14ac:dyDescent="0.15">
      <c r="B417" s="43" t="s">
        <v>95</v>
      </c>
      <c r="C417" s="29" t="s">
        <v>156</v>
      </c>
      <c r="D417" s="44" t="s">
        <v>1331</v>
      </c>
      <c r="E417" s="26">
        <v>-9999999</v>
      </c>
      <c r="F417" s="26">
        <v>9999999</v>
      </c>
      <c r="G417" s="26"/>
      <c r="H417" s="26">
        <v>0</v>
      </c>
    </row>
    <row r="418" spans="2:8" x14ac:dyDescent="0.15">
      <c r="B418" s="26" t="s">
        <v>97</v>
      </c>
      <c r="C418" s="29" t="s">
        <v>157</v>
      </c>
      <c r="D418" s="44" t="s">
        <v>1332</v>
      </c>
      <c r="E418" s="26"/>
      <c r="F418" s="26"/>
      <c r="G418" s="26" t="s">
        <v>456</v>
      </c>
      <c r="H418" s="26">
        <v>-1</v>
      </c>
    </row>
    <row r="419" spans="2:8" x14ac:dyDescent="0.15">
      <c r="B419" s="29" t="s">
        <v>1351</v>
      </c>
      <c r="C419" s="29" t="s">
        <v>158</v>
      </c>
      <c r="D419" s="44" t="s">
        <v>1354</v>
      </c>
      <c r="E419" s="26"/>
      <c r="F419" s="26">
        <v>16</v>
      </c>
      <c r="G419" s="26"/>
      <c r="H419" s="26" t="s">
        <v>123</v>
      </c>
    </row>
    <row r="420" spans="2:8" x14ac:dyDescent="0.15">
      <c r="B420" s="43" t="s">
        <v>95</v>
      </c>
      <c r="C420" s="29" t="s">
        <v>159</v>
      </c>
      <c r="D420" s="44" t="s">
        <v>1333</v>
      </c>
      <c r="E420" s="26">
        <v>-1</v>
      </c>
      <c r="F420" s="26">
        <v>99999999</v>
      </c>
      <c r="G420" s="26"/>
      <c r="H420" s="26">
        <v>-1</v>
      </c>
    </row>
    <row r="421" spans="2:8" x14ac:dyDescent="0.15">
      <c r="B421" s="26" t="s">
        <v>97</v>
      </c>
      <c r="C421" s="29" t="s">
        <v>160</v>
      </c>
      <c r="D421" s="44" t="s">
        <v>1334</v>
      </c>
      <c r="E421" s="26"/>
      <c r="F421" s="26"/>
      <c r="G421" s="26" t="s">
        <v>754</v>
      </c>
      <c r="H421" s="26">
        <v>-1</v>
      </c>
    </row>
    <row r="422" spans="2:8" x14ac:dyDescent="0.15">
      <c r="B422" s="43" t="s">
        <v>95</v>
      </c>
      <c r="C422" s="29" t="s">
        <v>161</v>
      </c>
      <c r="D422" s="44" t="s">
        <v>1335</v>
      </c>
      <c r="E422" s="26">
        <v>-9999999</v>
      </c>
      <c r="F422" s="26">
        <v>9999999</v>
      </c>
      <c r="G422" s="26"/>
      <c r="H422" s="26">
        <v>0</v>
      </c>
    </row>
    <row r="423" spans="2:8" x14ac:dyDescent="0.15">
      <c r="B423" s="26" t="s">
        <v>97</v>
      </c>
      <c r="C423" s="29" t="s">
        <v>162</v>
      </c>
      <c r="D423" s="44" t="s">
        <v>1336</v>
      </c>
      <c r="E423" s="26"/>
      <c r="F423" s="26"/>
      <c r="G423" s="26" t="s">
        <v>754</v>
      </c>
      <c r="H423" s="26">
        <v>-1</v>
      </c>
    </row>
    <row r="424" spans="2:8" x14ac:dyDescent="0.15">
      <c r="B424" s="43" t="s">
        <v>95</v>
      </c>
      <c r="C424" s="29" t="s">
        <v>163</v>
      </c>
      <c r="D424" s="44" t="s">
        <v>1337</v>
      </c>
      <c r="E424" s="26">
        <v>-9999999</v>
      </c>
      <c r="F424" s="26">
        <v>9999999</v>
      </c>
      <c r="G424" s="26"/>
      <c r="H424" s="26">
        <v>0</v>
      </c>
    </row>
    <row r="425" spans="2:8" x14ac:dyDescent="0.15">
      <c r="B425" s="26" t="s">
        <v>97</v>
      </c>
      <c r="C425" s="29" t="s">
        <v>280</v>
      </c>
      <c r="D425" s="44" t="s">
        <v>1338</v>
      </c>
      <c r="E425" s="26"/>
      <c r="F425" s="26"/>
      <c r="G425" s="26" t="s">
        <v>456</v>
      </c>
      <c r="H425" s="26">
        <v>-1</v>
      </c>
    </row>
    <row r="426" spans="2:8" x14ac:dyDescent="0.15">
      <c r="B426" s="29" t="s">
        <v>1351</v>
      </c>
      <c r="C426" s="29" t="s">
        <v>281</v>
      </c>
      <c r="D426" s="44" t="s">
        <v>1355</v>
      </c>
      <c r="E426" s="26"/>
      <c r="F426" s="26">
        <v>16</v>
      </c>
      <c r="G426" s="26"/>
      <c r="H426" s="26" t="s">
        <v>123</v>
      </c>
    </row>
    <row r="427" spans="2:8" x14ac:dyDescent="0.15">
      <c r="B427" s="43" t="s">
        <v>95</v>
      </c>
      <c r="C427" s="29" t="s">
        <v>282</v>
      </c>
      <c r="D427" s="44" t="s">
        <v>1339</v>
      </c>
      <c r="E427" s="26">
        <v>-1</v>
      </c>
      <c r="F427" s="26">
        <v>99999999</v>
      </c>
      <c r="G427" s="26"/>
      <c r="H427" s="26">
        <v>-1</v>
      </c>
    </row>
    <row r="428" spans="2:8" x14ac:dyDescent="0.15">
      <c r="B428" s="26" t="s">
        <v>97</v>
      </c>
      <c r="C428" s="29" t="s">
        <v>283</v>
      </c>
      <c r="D428" s="44" t="s">
        <v>1340</v>
      </c>
      <c r="E428" s="26"/>
      <c r="F428" s="26"/>
      <c r="G428" s="26" t="s">
        <v>754</v>
      </c>
      <c r="H428" s="26">
        <v>-1</v>
      </c>
    </row>
    <row r="429" spans="2:8" x14ac:dyDescent="0.15">
      <c r="B429" s="43" t="s">
        <v>95</v>
      </c>
      <c r="C429" s="29" t="s">
        <v>284</v>
      </c>
      <c r="D429" s="44" t="s">
        <v>1341</v>
      </c>
      <c r="E429" s="26">
        <v>-9999999</v>
      </c>
      <c r="F429" s="26">
        <v>9999999</v>
      </c>
      <c r="G429" s="26"/>
      <c r="H429" s="26">
        <v>0</v>
      </c>
    </row>
    <row r="430" spans="2:8" x14ac:dyDescent="0.15">
      <c r="B430" s="26" t="s">
        <v>97</v>
      </c>
      <c r="C430" s="29" t="s">
        <v>285</v>
      </c>
      <c r="D430" s="44" t="s">
        <v>1342</v>
      </c>
      <c r="E430" s="26"/>
      <c r="F430" s="26"/>
      <c r="G430" s="26" t="s">
        <v>754</v>
      </c>
      <c r="H430" s="26">
        <v>-1</v>
      </c>
    </row>
    <row r="431" spans="2:8" x14ac:dyDescent="0.15">
      <c r="B431" s="43" t="s">
        <v>95</v>
      </c>
      <c r="C431" s="29" t="s">
        <v>286</v>
      </c>
      <c r="D431" s="44" t="s">
        <v>1343</v>
      </c>
      <c r="E431" s="26">
        <v>-9999999</v>
      </c>
      <c r="F431" s="26">
        <v>9999999</v>
      </c>
      <c r="G431" s="26"/>
      <c r="H431" s="26">
        <v>0</v>
      </c>
    </row>
    <row r="432" spans="2:8" x14ac:dyDescent="0.15">
      <c r="B432" s="26" t="s">
        <v>97</v>
      </c>
      <c r="C432" s="29" t="s">
        <v>287</v>
      </c>
      <c r="D432" s="44" t="s">
        <v>1344</v>
      </c>
      <c r="E432" s="26"/>
      <c r="F432" s="26"/>
      <c r="G432" s="26" t="s">
        <v>456</v>
      </c>
      <c r="H432" s="26">
        <v>-1</v>
      </c>
    </row>
    <row r="433" spans="2:8" x14ac:dyDescent="0.15">
      <c r="B433" s="29" t="s">
        <v>1351</v>
      </c>
      <c r="C433" s="29" t="s">
        <v>393</v>
      </c>
      <c r="D433" s="44" t="s">
        <v>1356</v>
      </c>
      <c r="E433" s="26"/>
      <c r="F433" s="26">
        <v>16</v>
      </c>
      <c r="G433" s="26"/>
      <c r="H433" s="26" t="s">
        <v>123</v>
      </c>
    </row>
    <row r="434" spans="2:8" x14ac:dyDescent="0.15">
      <c r="B434" s="43" t="s">
        <v>95</v>
      </c>
      <c r="C434" s="29" t="s">
        <v>394</v>
      </c>
      <c r="D434" s="44" t="s">
        <v>1345</v>
      </c>
      <c r="E434" s="26">
        <v>-1</v>
      </c>
      <c r="F434" s="26">
        <v>99999999</v>
      </c>
      <c r="G434" s="26"/>
      <c r="H434" s="26">
        <v>-1</v>
      </c>
    </row>
    <row r="435" spans="2:8" x14ac:dyDescent="0.15">
      <c r="B435" s="26" t="s">
        <v>97</v>
      </c>
      <c r="C435" s="29" t="s">
        <v>395</v>
      </c>
      <c r="D435" s="44" t="s">
        <v>1346</v>
      </c>
      <c r="E435" s="26"/>
      <c r="F435" s="26"/>
      <c r="G435" s="26" t="s">
        <v>754</v>
      </c>
      <c r="H435" s="26">
        <v>-1</v>
      </c>
    </row>
    <row r="436" spans="2:8" x14ac:dyDescent="0.15">
      <c r="B436" s="43" t="s">
        <v>95</v>
      </c>
      <c r="C436" s="29" t="s">
        <v>438</v>
      </c>
      <c r="D436" s="44" t="s">
        <v>1347</v>
      </c>
      <c r="E436" s="26">
        <v>-9999999</v>
      </c>
      <c r="F436" s="26">
        <v>9999999</v>
      </c>
      <c r="G436" s="26"/>
      <c r="H436" s="26">
        <v>0</v>
      </c>
    </row>
    <row r="437" spans="2:8" x14ac:dyDescent="0.15">
      <c r="B437" s="26" t="s">
        <v>97</v>
      </c>
      <c r="C437" s="29" t="s">
        <v>439</v>
      </c>
      <c r="D437" s="44" t="s">
        <v>1348</v>
      </c>
      <c r="E437" s="26"/>
      <c r="F437" s="26"/>
      <c r="G437" s="26" t="s">
        <v>754</v>
      </c>
      <c r="H437" s="26">
        <v>-1</v>
      </c>
    </row>
    <row r="438" spans="2:8" x14ac:dyDescent="0.15">
      <c r="B438" s="43" t="s">
        <v>95</v>
      </c>
      <c r="C438" s="29" t="s">
        <v>440</v>
      </c>
      <c r="D438" s="44" t="s">
        <v>1349</v>
      </c>
      <c r="E438" s="26">
        <v>-9999999</v>
      </c>
      <c r="F438" s="26">
        <v>9999999</v>
      </c>
      <c r="G438" s="26"/>
      <c r="H438" s="26">
        <v>0</v>
      </c>
    </row>
    <row r="439" spans="2:8" x14ac:dyDescent="0.15">
      <c r="B439" s="26" t="s">
        <v>97</v>
      </c>
      <c r="C439" s="29" t="s">
        <v>441</v>
      </c>
      <c r="D439" s="44" t="s">
        <v>1350</v>
      </c>
      <c r="E439" s="26"/>
      <c r="F439" s="26"/>
      <c r="G439" s="26" t="s">
        <v>456</v>
      </c>
      <c r="H439" s="26">
        <v>-1</v>
      </c>
    </row>
    <row r="440" spans="2:8" x14ac:dyDescent="0.15">
      <c r="B440" s="29" t="s">
        <v>1351</v>
      </c>
      <c r="C440" s="29" t="s">
        <v>442</v>
      </c>
      <c r="D440" s="44" t="s">
        <v>1357</v>
      </c>
      <c r="E440" s="26"/>
      <c r="F440" s="26">
        <v>16</v>
      </c>
      <c r="G440" s="26"/>
      <c r="H440" s="26" t="s">
        <v>123</v>
      </c>
    </row>
    <row r="441" spans="2:8" x14ac:dyDescent="0.15">
      <c r="B441" s="29" t="s">
        <v>1351</v>
      </c>
      <c r="C441" s="29" t="s">
        <v>443</v>
      </c>
      <c r="D441" s="44" t="s">
        <v>1358</v>
      </c>
      <c r="E441" s="26"/>
      <c r="F441" s="26">
        <v>16</v>
      </c>
      <c r="G441" s="26"/>
      <c r="H441" s="26" t="s">
        <v>123</v>
      </c>
    </row>
    <row r="442" spans="2:8" x14ac:dyDescent="0.15">
      <c r="B442" s="29" t="s">
        <v>1351</v>
      </c>
      <c r="C442" s="29" t="s">
        <v>444</v>
      </c>
      <c r="D442" s="44" t="s">
        <v>1359</v>
      </c>
      <c r="E442" s="26"/>
      <c r="F442" s="26">
        <v>16</v>
      </c>
      <c r="G442" s="26"/>
      <c r="H442" s="26" t="s">
        <v>123</v>
      </c>
    </row>
    <row r="443" spans="2:8" x14ac:dyDescent="0.15">
      <c r="B443" s="29" t="s">
        <v>1351</v>
      </c>
      <c r="C443" s="29" t="s">
        <v>445</v>
      </c>
      <c r="D443" s="44" t="s">
        <v>1360</v>
      </c>
      <c r="E443" s="26"/>
      <c r="F443" s="26">
        <v>16</v>
      </c>
      <c r="G443" s="26"/>
      <c r="H443" s="26" t="s">
        <v>123</v>
      </c>
    </row>
    <row r="444" spans="2:8" x14ac:dyDescent="0.15">
      <c r="B444" s="29" t="s">
        <v>1351</v>
      </c>
      <c r="C444" s="29" t="s">
        <v>446</v>
      </c>
      <c r="D444" s="44" t="s">
        <v>1361</v>
      </c>
      <c r="E444" s="26"/>
      <c r="F444" s="26">
        <v>16</v>
      </c>
      <c r="G444" s="26"/>
      <c r="H444" s="26" t="s">
        <v>123</v>
      </c>
    </row>
    <row r="445" spans="2:8" x14ac:dyDescent="0.15">
      <c r="B445" s="29" t="s">
        <v>1351</v>
      </c>
      <c r="C445" s="29" t="s">
        <v>447</v>
      </c>
      <c r="D445" s="44" t="s">
        <v>1362</v>
      </c>
      <c r="E445" s="26"/>
      <c r="F445" s="26">
        <v>16</v>
      </c>
      <c r="G445" s="26"/>
      <c r="H445" s="26" t="s">
        <v>123</v>
      </c>
    </row>
    <row r="446" spans="2:8" x14ac:dyDescent="0.15">
      <c r="B446" s="29" t="s">
        <v>1351</v>
      </c>
      <c r="C446" s="29" t="s">
        <v>448</v>
      </c>
      <c r="D446" s="44" t="s">
        <v>1363</v>
      </c>
      <c r="E446" s="26"/>
      <c r="F446" s="26">
        <v>16</v>
      </c>
      <c r="G446" s="26"/>
      <c r="H446" s="26" t="s">
        <v>123</v>
      </c>
    </row>
    <row r="447" spans="2:8" x14ac:dyDescent="0.15">
      <c r="B447" s="29" t="s">
        <v>1351</v>
      </c>
      <c r="C447" s="29" t="s">
        <v>449</v>
      </c>
      <c r="D447" s="44" t="s">
        <v>1364</v>
      </c>
      <c r="E447" s="26"/>
      <c r="F447" s="26">
        <v>16</v>
      </c>
      <c r="G447" s="26"/>
      <c r="H447" s="26" t="s">
        <v>123</v>
      </c>
    </row>
    <row r="448" spans="2:8" x14ac:dyDescent="0.15">
      <c r="B448" s="29" t="s">
        <v>1351</v>
      </c>
      <c r="C448" s="29" t="s">
        <v>498</v>
      </c>
      <c r="D448" s="44" t="s">
        <v>1365</v>
      </c>
      <c r="E448" s="26"/>
      <c r="F448" s="26">
        <v>16</v>
      </c>
      <c r="G448" s="26"/>
      <c r="H448" s="26" t="s">
        <v>123</v>
      </c>
    </row>
    <row r="449" spans="1:13" x14ac:dyDescent="0.15">
      <c r="B449" s="29" t="s">
        <v>1351</v>
      </c>
      <c r="C449" s="29" t="s">
        <v>807</v>
      </c>
      <c r="D449" s="44" t="s">
        <v>1366</v>
      </c>
      <c r="E449" s="26"/>
      <c r="F449" s="26">
        <v>16</v>
      </c>
      <c r="G449" s="26"/>
      <c r="H449" s="26" t="s">
        <v>123</v>
      </c>
    </row>
    <row r="450" spans="1:13" x14ac:dyDescent="0.15">
      <c r="M450" t="s">
        <v>1430</v>
      </c>
    </row>
    <row r="451" spans="1:13" x14ac:dyDescent="0.15">
      <c r="M451" t="s">
        <v>1431</v>
      </c>
    </row>
    <row r="452" spans="1:13" x14ac:dyDescent="0.15">
      <c r="A452" s="43" t="s">
        <v>1371</v>
      </c>
      <c r="B452" s="29" t="s">
        <v>1367</v>
      </c>
      <c r="C452" s="29" t="s">
        <v>1370</v>
      </c>
      <c r="D452" s="29"/>
      <c r="E452" s="29"/>
      <c r="F452" s="29"/>
      <c r="G452" s="29"/>
      <c r="H452" s="29"/>
      <c r="M452" t="s">
        <v>1411</v>
      </c>
    </row>
    <row r="453" spans="1:13" x14ac:dyDescent="0.15">
      <c r="A453" s="43"/>
      <c r="B453" s="43" t="s">
        <v>95</v>
      </c>
      <c r="C453" s="29" t="s">
        <v>255</v>
      </c>
      <c r="D453" s="44" t="s">
        <v>1368</v>
      </c>
      <c r="E453" s="26">
        <v>0</v>
      </c>
      <c r="F453" s="26">
        <v>99999999</v>
      </c>
      <c r="G453" s="26"/>
      <c r="H453" s="26">
        <v>0</v>
      </c>
      <c r="M453" t="s">
        <v>1412</v>
      </c>
    </row>
    <row r="454" spans="1:13" x14ac:dyDescent="0.15">
      <c r="A454" s="43"/>
      <c r="B454" s="29" t="s">
        <v>541</v>
      </c>
      <c r="C454" s="29" t="s">
        <v>102</v>
      </c>
      <c r="D454" s="44" t="s">
        <v>1369</v>
      </c>
      <c r="E454" s="26"/>
      <c r="F454" s="26">
        <v>256</v>
      </c>
      <c r="G454" s="26"/>
      <c r="H454" s="26" t="s">
        <v>123</v>
      </c>
      <c r="M454" t="s">
        <v>1413</v>
      </c>
    </row>
    <row r="455" spans="1:13" x14ac:dyDescent="0.15">
      <c r="M455" t="s">
        <v>1432</v>
      </c>
    </row>
    <row r="456" spans="1:13" x14ac:dyDescent="0.15">
      <c r="A456" s="43" t="s">
        <v>1373</v>
      </c>
      <c r="B456" s="29" t="s">
        <v>1372</v>
      </c>
      <c r="C456" s="29" t="s">
        <v>1370</v>
      </c>
      <c r="D456" s="29"/>
      <c r="E456" s="29"/>
      <c r="F456" s="29"/>
      <c r="G456" s="29"/>
      <c r="H456" s="29"/>
      <c r="M456" t="s">
        <v>1414</v>
      </c>
    </row>
    <row r="457" spans="1:13" x14ac:dyDescent="0.15">
      <c r="A457" s="43"/>
      <c r="B457" s="43" t="s">
        <v>95</v>
      </c>
      <c r="C457" s="29" t="s">
        <v>255</v>
      </c>
      <c r="D457" s="44" t="s">
        <v>1375</v>
      </c>
      <c r="E457" s="26">
        <v>0</v>
      </c>
      <c r="F457" s="26">
        <v>99999999</v>
      </c>
      <c r="G457" s="26"/>
      <c r="H457" s="26">
        <v>0</v>
      </c>
      <c r="M457" t="s">
        <v>1412</v>
      </c>
    </row>
    <row r="458" spans="1:13" x14ac:dyDescent="0.15">
      <c r="A458" s="43"/>
      <c r="B458" s="29" t="s">
        <v>541</v>
      </c>
      <c r="C458" s="29" t="s">
        <v>102</v>
      </c>
      <c r="D458" s="44" t="s">
        <v>1376</v>
      </c>
      <c r="E458" s="26"/>
      <c r="F458" s="26">
        <v>256</v>
      </c>
      <c r="G458" s="26"/>
      <c r="H458" s="26" t="s">
        <v>123</v>
      </c>
      <c r="M458" t="s">
        <v>1416</v>
      </c>
    </row>
    <row r="459" spans="1:13" x14ac:dyDescent="0.15">
      <c r="M459" t="s">
        <v>1417</v>
      </c>
    </row>
    <row r="460" spans="1:13" x14ac:dyDescent="0.15">
      <c r="A460" s="43" t="s">
        <v>1379</v>
      </c>
      <c r="B460" s="29" t="s">
        <v>1377</v>
      </c>
      <c r="C460" s="29" t="s">
        <v>1370</v>
      </c>
      <c r="D460" s="29"/>
      <c r="E460" s="29"/>
      <c r="F460" s="29"/>
      <c r="G460" s="29"/>
      <c r="H460" s="29"/>
      <c r="M460" t="s">
        <v>1418</v>
      </c>
    </row>
    <row r="461" spans="1:13" x14ac:dyDescent="0.15">
      <c r="A461" s="43"/>
      <c r="B461" s="43" t="s">
        <v>95</v>
      </c>
      <c r="C461" s="29" t="s">
        <v>255</v>
      </c>
      <c r="D461" s="44" t="s">
        <v>1378</v>
      </c>
      <c r="E461" s="26">
        <v>0</v>
      </c>
      <c r="F461" s="26">
        <v>99999999</v>
      </c>
      <c r="G461" s="26"/>
      <c r="H461" s="26">
        <v>0</v>
      </c>
      <c r="M461" t="s">
        <v>1412</v>
      </c>
    </row>
    <row r="462" spans="1:13" x14ac:dyDescent="0.15">
      <c r="A462" s="43"/>
      <c r="B462" s="29" t="s">
        <v>541</v>
      </c>
      <c r="C462" s="29" t="s">
        <v>102</v>
      </c>
      <c r="D462" s="44" t="s">
        <v>1374</v>
      </c>
      <c r="E462" s="26"/>
      <c r="F462" s="26">
        <v>256</v>
      </c>
      <c r="G462" s="26"/>
      <c r="H462" s="26" t="s">
        <v>123</v>
      </c>
      <c r="M462" t="s">
        <v>1419</v>
      </c>
    </row>
    <row r="463" spans="1:13" x14ac:dyDescent="0.15">
      <c r="M463" t="s">
        <v>1420</v>
      </c>
    </row>
    <row r="464" spans="1:13" x14ac:dyDescent="0.15">
      <c r="M464" t="s">
        <v>1421</v>
      </c>
    </row>
    <row r="465" spans="1:13" x14ac:dyDescent="0.15">
      <c r="A465" s="43" t="s">
        <v>1391</v>
      </c>
      <c r="B465" s="29" t="s">
        <v>1390</v>
      </c>
      <c r="C465" s="29" t="s">
        <v>1370</v>
      </c>
      <c r="M465" t="s">
        <v>1422</v>
      </c>
    </row>
    <row r="466" spans="1:13" x14ac:dyDescent="0.15">
      <c r="B466" s="43" t="s">
        <v>95</v>
      </c>
      <c r="C466" s="29" t="s">
        <v>255</v>
      </c>
      <c r="D466" s="44" t="s">
        <v>1389</v>
      </c>
      <c r="E466" s="26">
        <v>0</v>
      </c>
      <c r="F466" s="26">
        <v>99999999</v>
      </c>
      <c r="G466" s="26"/>
      <c r="H466" s="26">
        <v>1</v>
      </c>
      <c r="M466" t="s">
        <v>1423</v>
      </c>
    </row>
    <row r="467" spans="1:13" x14ac:dyDescent="0.15">
      <c r="B467" s="26" t="s">
        <v>858</v>
      </c>
      <c r="C467" s="29" t="s">
        <v>102</v>
      </c>
      <c r="D467" t="s">
        <v>1380</v>
      </c>
      <c r="G467" s="43" t="s">
        <v>1371</v>
      </c>
      <c r="H467" s="29">
        <v>-1</v>
      </c>
      <c r="M467" t="s">
        <v>1433</v>
      </c>
    </row>
    <row r="468" spans="1:13" x14ac:dyDescent="0.15">
      <c r="B468" s="26" t="s">
        <v>858</v>
      </c>
      <c r="C468" s="29" t="s">
        <v>103</v>
      </c>
      <c r="D468" t="s">
        <v>1381</v>
      </c>
      <c r="G468" s="43" t="s">
        <v>1373</v>
      </c>
      <c r="H468" s="29">
        <v>-1</v>
      </c>
      <c r="M468" t="s">
        <v>1424</v>
      </c>
    </row>
    <row r="469" spans="1:13" x14ac:dyDescent="0.15">
      <c r="B469" s="26" t="s">
        <v>858</v>
      </c>
      <c r="C469" s="29" t="s">
        <v>104</v>
      </c>
      <c r="D469" t="s">
        <v>1382</v>
      </c>
      <c r="G469" s="43" t="s">
        <v>1379</v>
      </c>
      <c r="H469" s="29">
        <v>-1</v>
      </c>
      <c r="M469" t="s">
        <v>1425</v>
      </c>
    </row>
    <row r="470" spans="1:13" x14ac:dyDescent="0.15">
      <c r="B470" s="29" t="s">
        <v>541</v>
      </c>
      <c r="C470" s="29" t="s">
        <v>105</v>
      </c>
      <c r="D470" t="s">
        <v>1383</v>
      </c>
      <c r="F470">
        <v>256</v>
      </c>
      <c r="H470" s="26" t="s">
        <v>123</v>
      </c>
      <c r="M470" t="s">
        <v>1426</v>
      </c>
    </row>
    <row r="471" spans="1:13" x14ac:dyDescent="0.15">
      <c r="B471" s="43" t="s">
        <v>95</v>
      </c>
      <c r="C471" s="29" t="s">
        <v>106</v>
      </c>
      <c r="D471" t="s">
        <v>1384</v>
      </c>
      <c r="E471" s="26">
        <v>0</v>
      </c>
      <c r="F471" s="26">
        <v>99999999</v>
      </c>
      <c r="H471" s="29">
        <v>0</v>
      </c>
      <c r="M471" t="s">
        <v>1427</v>
      </c>
    </row>
    <row r="472" spans="1:13" x14ac:dyDescent="0.15">
      <c r="B472" s="29" t="s">
        <v>541</v>
      </c>
      <c r="C472" s="29" t="s">
        <v>107</v>
      </c>
      <c r="D472" t="s">
        <v>1385</v>
      </c>
      <c r="F472" s="26">
        <v>256</v>
      </c>
      <c r="H472" s="26" t="s">
        <v>123</v>
      </c>
      <c r="M472" t="s">
        <v>1428</v>
      </c>
    </row>
    <row r="473" spans="1:13" x14ac:dyDescent="0.15">
      <c r="B473" s="29" t="s">
        <v>541</v>
      </c>
      <c r="C473" s="29" t="s">
        <v>155</v>
      </c>
      <c r="D473" t="s">
        <v>1386</v>
      </c>
      <c r="F473" s="26">
        <v>256</v>
      </c>
      <c r="H473" s="26" t="s">
        <v>123</v>
      </c>
      <c r="M473" t="s">
        <v>1415</v>
      </c>
    </row>
    <row r="474" spans="1:13" x14ac:dyDescent="0.15">
      <c r="B474" s="26" t="s">
        <v>98</v>
      </c>
      <c r="C474" s="29" t="s">
        <v>156</v>
      </c>
      <c r="D474" t="s">
        <v>1387</v>
      </c>
      <c r="F474" s="26"/>
      <c r="G474" t="s">
        <v>1410</v>
      </c>
      <c r="H474" s="26">
        <v>0</v>
      </c>
    </row>
    <row r="475" spans="1:13" x14ac:dyDescent="0.15">
      <c r="B475" s="29" t="s">
        <v>541</v>
      </c>
      <c r="C475" s="29" t="s">
        <v>157</v>
      </c>
      <c r="D475" t="s">
        <v>1388</v>
      </c>
      <c r="F475" s="26">
        <v>256</v>
      </c>
      <c r="H475" s="26" t="s">
        <v>123</v>
      </c>
    </row>
    <row r="476" spans="1:13" x14ac:dyDescent="0.15">
      <c r="B476" s="43"/>
      <c r="C476" s="43"/>
      <c r="D476" s="43"/>
      <c r="E476" s="43"/>
      <c r="F476" s="43"/>
      <c r="G476" s="43"/>
      <c r="H476" s="43"/>
    </row>
    <row r="477" spans="1:13" x14ac:dyDescent="0.15">
      <c r="B477" s="43"/>
      <c r="C477" s="43"/>
      <c r="D477" s="43"/>
      <c r="E477" s="43"/>
      <c r="F477" s="43"/>
      <c r="G477" s="43"/>
      <c r="H477" s="43"/>
    </row>
    <row r="478" spans="1:13" x14ac:dyDescent="0.15">
      <c r="B478" s="43"/>
      <c r="C478" s="43"/>
      <c r="D478" s="43"/>
      <c r="E478" s="43"/>
      <c r="F478" s="43"/>
      <c r="G478" s="43"/>
      <c r="H478" s="43"/>
    </row>
    <row r="479" spans="1:13" x14ac:dyDescent="0.15">
      <c r="B479" s="43"/>
      <c r="C479" s="43"/>
      <c r="D479" s="43"/>
      <c r="E479" s="43"/>
      <c r="F479" s="43"/>
      <c r="G479" s="43"/>
      <c r="H479" s="43"/>
    </row>
  </sheetData>
  <phoneticPr fontId="1" type="noConversion"/>
  <dataValidations count="1">
    <dataValidation type="list" allowBlank="1" showInputMessage="1" showErrorMessage="1" sqref="B386 B42:B43 B46:B61 B36:B37 B2:B8 B11:B17 B20:B21 B24:B25 B28:B33 B69:B70 B66:B67 B95:B124 B340:B341 B338 B351:B352 B347:B349 B416 B418 B414 B423 B430 B437 B425 B432 B439 B421 B428 B435 B467:B469 B474">
      <formula1>INDIRECT("配置!H:H")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9220" r:id="rId4" name="CommandButton1">
          <controlPr autoLine="0" r:id="rId5">
            <anchor moveWithCells="1">
              <from>
                <xdr:col>8</xdr:col>
                <xdr:colOff>542925</xdr:colOff>
                <xdr:row>3</xdr:row>
                <xdr:rowOff>104775</xdr:rowOff>
              </from>
              <to>
                <xdr:col>10</xdr:col>
                <xdr:colOff>76200</xdr:colOff>
                <xdr:row>5</xdr:row>
                <xdr:rowOff>66675</xdr:rowOff>
              </to>
            </anchor>
          </controlPr>
        </control>
      </mc:Choice>
      <mc:Fallback>
        <control shapeId="9220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G917"/>
  <sheetViews>
    <sheetView tabSelected="1" workbookViewId="0">
      <pane xSplit="3" ySplit="16" topLeftCell="D17" activePane="bottomRight" state="frozen"/>
      <selection pane="topRight" activeCell="D1" sqref="D1"/>
      <selection pane="bottomLeft" activeCell="A17" sqref="A17"/>
      <selection pane="bottomRight" activeCell="G22" sqref="G22"/>
    </sheetView>
  </sheetViews>
  <sheetFormatPr defaultColWidth="9" defaultRowHeight="13.5" x14ac:dyDescent="0.15"/>
  <cols>
    <col min="1" max="1" width="9.125" style="3" customWidth="1"/>
    <col min="2" max="2" width="9.5" style="13" customWidth="1"/>
    <col min="3" max="3" width="59.25" style="12" customWidth="1"/>
    <col min="4" max="4" width="4.75" style="5" customWidth="1"/>
    <col min="5" max="5" width="46.75" style="17" customWidth="1"/>
    <col min="6" max="6" width="7.5" style="10" customWidth="1"/>
    <col min="7" max="7" width="45.125" style="3" bestFit="1" customWidth="1"/>
    <col min="8" max="16384" width="9" style="3"/>
  </cols>
  <sheetData>
    <row r="1" spans="1:7" ht="27" x14ac:dyDescent="0.15">
      <c r="A1" s="3" t="s">
        <v>1</v>
      </c>
      <c r="B1" s="13" t="s">
        <v>0</v>
      </c>
      <c r="G1" s="18" t="s">
        <v>43</v>
      </c>
    </row>
    <row r="2" spans="1:7" x14ac:dyDescent="0.15">
      <c r="A2" s="3" t="s">
        <v>37</v>
      </c>
      <c r="F2" s="21">
        <v>8</v>
      </c>
      <c r="G2" s="23" t="s">
        <v>16</v>
      </c>
    </row>
    <row r="3" spans="1:7" x14ac:dyDescent="0.15">
      <c r="F3" s="21">
        <v>31</v>
      </c>
      <c r="G3" s="23" t="s">
        <v>18</v>
      </c>
    </row>
    <row r="4" spans="1:7" x14ac:dyDescent="0.15">
      <c r="F4" s="10" t="s">
        <v>74</v>
      </c>
      <c r="G4" s="22" t="str">
        <f>"1、目前处理 "&amp;F2&amp;"-"&amp;F3&amp;"行，可以先尝试自动缩进"</f>
        <v>1、目前处理 8-31行，可以先尝试自动缩进</v>
      </c>
    </row>
    <row r="5" spans="1:7" x14ac:dyDescent="0.15">
      <c r="G5" s="22" t="s">
        <v>47</v>
      </c>
    </row>
    <row r="6" spans="1:7" x14ac:dyDescent="0.15">
      <c r="C6" s="12" t="s">
        <v>42</v>
      </c>
      <c r="G6" s="22" t="s">
        <v>46</v>
      </c>
    </row>
    <row r="7" spans="1:7" x14ac:dyDescent="0.15">
      <c r="C7" s="12" t="s">
        <v>42</v>
      </c>
    </row>
    <row r="8" spans="1:7" x14ac:dyDescent="0.15">
      <c r="B8" s="13">
        <v>100001</v>
      </c>
      <c r="C8" s="43" t="s">
        <v>1430</v>
      </c>
      <c r="E8" s="17" t="s">
        <v>1392</v>
      </c>
    </row>
    <row r="9" spans="1:7" x14ac:dyDescent="0.15">
      <c r="C9" s="43" t="s">
        <v>1431</v>
      </c>
      <c r="E9" s="17" t="s">
        <v>1393</v>
      </c>
    </row>
    <row r="10" spans="1:7" x14ac:dyDescent="0.15">
      <c r="C10" s="43" t="s">
        <v>1411</v>
      </c>
      <c r="E10" s="17" t="s">
        <v>1394</v>
      </c>
    </row>
    <row r="11" spans="1:7" x14ac:dyDescent="0.15">
      <c r="C11" s="43" t="s">
        <v>1412</v>
      </c>
      <c r="E11" s="17" t="s">
        <v>78</v>
      </c>
    </row>
    <row r="12" spans="1:7" x14ac:dyDescent="0.15">
      <c r="C12" s="43" t="s">
        <v>1413</v>
      </c>
      <c r="E12" s="17" t="s">
        <v>54</v>
      </c>
    </row>
    <row r="13" spans="1:7" x14ac:dyDescent="0.15">
      <c r="C13" s="43" t="s">
        <v>1432</v>
      </c>
      <c r="E13" s="17" t="s">
        <v>1395</v>
      </c>
    </row>
    <row r="14" spans="1:7" x14ac:dyDescent="0.15">
      <c r="C14" s="43" t="s">
        <v>1414</v>
      </c>
      <c r="E14" s="17" t="s">
        <v>1396</v>
      </c>
    </row>
    <row r="15" spans="1:7" x14ac:dyDescent="0.15">
      <c r="C15" s="43" t="s">
        <v>1412</v>
      </c>
      <c r="E15" s="17" t="s">
        <v>1397</v>
      </c>
    </row>
    <row r="16" spans="1:7" x14ac:dyDescent="0.15">
      <c r="C16" s="43" t="s">
        <v>1416</v>
      </c>
      <c r="E16" s="17" t="s">
        <v>78</v>
      </c>
    </row>
    <row r="17" spans="3:5" x14ac:dyDescent="0.15">
      <c r="C17" s="43" t="s">
        <v>1417</v>
      </c>
      <c r="E17" s="17" t="s">
        <v>54</v>
      </c>
    </row>
    <row r="18" spans="3:5" x14ac:dyDescent="0.15">
      <c r="C18" s="43" t="s">
        <v>1418</v>
      </c>
      <c r="E18" s="17" t="s">
        <v>1398</v>
      </c>
    </row>
    <row r="19" spans="3:5" x14ac:dyDescent="0.15">
      <c r="C19" s="43" t="s">
        <v>1412</v>
      </c>
      <c r="E19" s="17" t="s">
        <v>1399</v>
      </c>
    </row>
    <row r="20" spans="3:5" x14ac:dyDescent="0.15">
      <c r="C20" s="43" t="s">
        <v>1419</v>
      </c>
      <c r="E20" s="17" t="s">
        <v>1400</v>
      </c>
    </row>
    <row r="21" spans="3:5" x14ac:dyDescent="0.15">
      <c r="C21" s="43" t="s">
        <v>1420</v>
      </c>
      <c r="E21" s="17" t="s">
        <v>78</v>
      </c>
    </row>
    <row r="22" spans="3:5" x14ac:dyDescent="0.15">
      <c r="C22" s="43" t="s">
        <v>1421</v>
      </c>
      <c r="E22" s="17" t="s">
        <v>54</v>
      </c>
    </row>
    <row r="23" spans="3:5" x14ac:dyDescent="0.15">
      <c r="C23" s="43" t="s">
        <v>1422</v>
      </c>
      <c r="E23" s="17" t="s">
        <v>1401</v>
      </c>
    </row>
    <row r="24" spans="3:5" x14ac:dyDescent="0.15">
      <c r="C24" s="43" t="s">
        <v>1423</v>
      </c>
      <c r="E24" s="17" t="s">
        <v>1402</v>
      </c>
    </row>
    <row r="25" spans="3:5" x14ac:dyDescent="0.15">
      <c r="C25" s="43" t="s">
        <v>1433</v>
      </c>
      <c r="E25" s="17" t="s">
        <v>1403</v>
      </c>
    </row>
    <row r="26" spans="3:5" x14ac:dyDescent="0.15">
      <c r="C26" s="43" t="s">
        <v>1424</v>
      </c>
      <c r="E26" s="17" t="s">
        <v>1404</v>
      </c>
    </row>
    <row r="27" spans="3:5" x14ac:dyDescent="0.15">
      <c r="C27" s="43" t="s">
        <v>1425</v>
      </c>
      <c r="E27" s="17" t="s">
        <v>1405</v>
      </c>
    </row>
    <row r="28" spans="3:5" x14ac:dyDescent="0.15">
      <c r="C28" s="43" t="s">
        <v>1426</v>
      </c>
      <c r="E28" s="17" t="s">
        <v>1434</v>
      </c>
    </row>
    <row r="29" spans="3:5" x14ac:dyDescent="0.15">
      <c r="C29" s="43" t="s">
        <v>1427</v>
      </c>
      <c r="E29" s="17" t="s">
        <v>1406</v>
      </c>
    </row>
    <row r="30" spans="3:5" x14ac:dyDescent="0.15">
      <c r="C30" s="43" t="s">
        <v>1428</v>
      </c>
      <c r="E30" s="17" t="s">
        <v>1407</v>
      </c>
    </row>
    <row r="31" spans="3:5" x14ac:dyDescent="0.15">
      <c r="C31" s="43" t="s">
        <v>1415</v>
      </c>
      <c r="E31" s="17" t="s">
        <v>1408</v>
      </c>
    </row>
    <row r="32" spans="3:5" x14ac:dyDescent="0.15">
      <c r="C32" s="12" t="s">
        <v>135</v>
      </c>
      <c r="E32" s="17" t="s">
        <v>1429</v>
      </c>
    </row>
    <row r="33" spans="3:5" x14ac:dyDescent="0.15">
      <c r="C33" s="12" t="s">
        <v>248</v>
      </c>
      <c r="E33" s="17" t="s">
        <v>1409</v>
      </c>
    </row>
    <row r="34" spans="3:5" x14ac:dyDescent="0.15">
      <c r="C34" s="12" t="s">
        <v>188</v>
      </c>
      <c r="E34" s="17" t="s">
        <v>78</v>
      </c>
    </row>
    <row r="35" spans="3:5" x14ac:dyDescent="0.15">
      <c r="C35" s="12" t="s">
        <v>189</v>
      </c>
      <c r="E35" s="17" t="s">
        <v>54</v>
      </c>
    </row>
    <row r="36" spans="3:5" x14ac:dyDescent="0.15">
      <c r="C36" s="12" t="s">
        <v>190</v>
      </c>
    </row>
    <row r="37" spans="3:5" x14ac:dyDescent="0.15">
      <c r="C37" s="12" t="s">
        <v>191</v>
      </c>
    </row>
    <row r="38" spans="3:5" x14ac:dyDescent="0.15">
      <c r="C38" s="12" t="s">
        <v>135</v>
      </c>
    </row>
    <row r="39" spans="3:5" x14ac:dyDescent="0.15">
      <c r="C39" s="12" t="s">
        <v>192</v>
      </c>
    </row>
    <row r="40" spans="3:5" x14ac:dyDescent="0.15">
      <c r="C40" s="12" t="s">
        <v>134</v>
      </c>
    </row>
    <row r="41" spans="3:5" x14ac:dyDescent="0.15">
      <c r="C41" s="12" t="s">
        <v>193</v>
      </c>
    </row>
    <row r="42" spans="3:5" x14ac:dyDescent="0.15">
      <c r="C42" s="12" t="s">
        <v>135</v>
      </c>
    </row>
    <row r="43" spans="3:5" x14ac:dyDescent="0.15">
      <c r="C43" s="12" t="s">
        <v>194</v>
      </c>
    </row>
    <row r="44" spans="3:5" x14ac:dyDescent="0.15">
      <c r="C44" s="12" t="s">
        <v>134</v>
      </c>
    </row>
    <row r="45" spans="3:5" x14ac:dyDescent="0.15">
      <c r="C45" s="12" t="s">
        <v>195</v>
      </c>
    </row>
    <row r="46" spans="3:5" x14ac:dyDescent="0.15">
      <c r="C46" s="12" t="s">
        <v>239</v>
      </c>
    </row>
    <row r="47" spans="3:5" x14ac:dyDescent="0.15">
      <c r="C47" s="12" t="s">
        <v>251</v>
      </c>
    </row>
    <row r="48" spans="3:5" x14ac:dyDescent="0.15">
      <c r="C48" s="12" t="s">
        <v>196</v>
      </c>
    </row>
    <row r="49" spans="3:3" x14ac:dyDescent="0.15">
      <c r="C49" s="12" t="s">
        <v>240</v>
      </c>
    </row>
    <row r="50" spans="3:3" x14ac:dyDescent="0.15">
      <c r="C50" s="12" t="s">
        <v>197</v>
      </c>
    </row>
    <row r="51" spans="3:3" x14ac:dyDescent="0.15">
      <c r="C51" s="12" t="s">
        <v>245</v>
      </c>
    </row>
    <row r="52" spans="3:3" x14ac:dyDescent="0.15">
      <c r="C52" s="12" t="s">
        <v>198</v>
      </c>
    </row>
    <row r="53" spans="3:3" x14ac:dyDescent="0.15">
      <c r="C53" s="12" t="s">
        <v>241</v>
      </c>
    </row>
    <row r="54" spans="3:3" x14ac:dyDescent="0.15">
      <c r="C54" s="12" t="s">
        <v>199</v>
      </c>
    </row>
    <row r="55" spans="3:3" x14ac:dyDescent="0.15">
      <c r="C55" s="12" t="s">
        <v>200</v>
      </c>
    </row>
    <row r="56" spans="3:3" x14ac:dyDescent="0.15">
      <c r="C56" s="12" t="s">
        <v>201</v>
      </c>
    </row>
    <row r="57" spans="3:3" x14ac:dyDescent="0.15">
      <c r="C57" s="12" t="s">
        <v>202</v>
      </c>
    </row>
    <row r="58" spans="3:3" x14ac:dyDescent="0.15">
      <c r="C58" s="12" t="s">
        <v>203</v>
      </c>
    </row>
    <row r="59" spans="3:3" x14ac:dyDescent="0.15">
      <c r="C59" s="12" t="s">
        <v>204</v>
      </c>
    </row>
    <row r="60" spans="3:3" x14ac:dyDescent="0.15">
      <c r="C60" s="12" t="s">
        <v>135</v>
      </c>
    </row>
    <row r="61" spans="3:3" x14ac:dyDescent="0.15">
      <c r="C61" s="41" t="s">
        <v>860</v>
      </c>
    </row>
    <row r="62" spans="3:3" x14ac:dyDescent="0.15">
      <c r="C62" s="41" t="s">
        <v>775</v>
      </c>
    </row>
    <row r="63" spans="3:3" x14ac:dyDescent="0.15">
      <c r="C63" s="41" t="s">
        <v>776</v>
      </c>
    </row>
    <row r="64" spans="3:3" x14ac:dyDescent="0.15">
      <c r="C64" s="41" t="s">
        <v>795</v>
      </c>
    </row>
    <row r="65" spans="3:3" x14ac:dyDescent="0.15">
      <c r="C65" s="41" t="s">
        <v>796</v>
      </c>
    </row>
    <row r="66" spans="3:3" x14ac:dyDescent="0.15">
      <c r="C66" s="41" t="s">
        <v>797</v>
      </c>
    </row>
    <row r="67" spans="3:3" x14ac:dyDescent="0.15">
      <c r="C67" s="41" t="s">
        <v>798</v>
      </c>
    </row>
    <row r="68" spans="3:3" x14ac:dyDescent="0.15">
      <c r="C68" s="41" t="s">
        <v>777</v>
      </c>
    </row>
    <row r="69" spans="3:3" x14ac:dyDescent="0.15">
      <c r="C69" s="41" t="s">
        <v>778</v>
      </c>
    </row>
    <row r="70" spans="3:3" x14ac:dyDescent="0.15">
      <c r="C70" s="41" t="s">
        <v>779</v>
      </c>
    </row>
    <row r="71" spans="3:3" x14ac:dyDescent="0.15">
      <c r="C71" s="41" t="s">
        <v>780</v>
      </c>
    </row>
    <row r="72" spans="3:3" x14ac:dyDescent="0.15">
      <c r="C72" s="41" t="s">
        <v>781</v>
      </c>
    </row>
    <row r="73" spans="3:3" x14ac:dyDescent="0.15">
      <c r="C73" s="41" t="s">
        <v>782</v>
      </c>
    </row>
    <row r="74" spans="3:3" x14ac:dyDescent="0.15">
      <c r="C74" s="41" t="s">
        <v>783</v>
      </c>
    </row>
    <row r="75" spans="3:3" x14ac:dyDescent="0.15">
      <c r="C75" s="41" t="s">
        <v>784</v>
      </c>
    </row>
    <row r="76" spans="3:3" x14ac:dyDescent="0.15">
      <c r="C76" s="41" t="s">
        <v>785</v>
      </c>
    </row>
    <row r="77" spans="3:3" x14ac:dyDescent="0.15">
      <c r="C77" s="41" t="s">
        <v>799</v>
      </c>
    </row>
    <row r="78" spans="3:3" x14ac:dyDescent="0.15">
      <c r="C78" s="41" t="s">
        <v>800</v>
      </c>
    </row>
    <row r="79" spans="3:3" x14ac:dyDescent="0.15">
      <c r="C79" s="41" t="s">
        <v>801</v>
      </c>
    </row>
    <row r="80" spans="3:3" x14ac:dyDescent="0.15">
      <c r="C80" s="41" t="s">
        <v>802</v>
      </c>
    </row>
    <row r="81" spans="3:3" x14ac:dyDescent="0.15">
      <c r="C81" s="41" t="s">
        <v>786</v>
      </c>
    </row>
    <row r="82" spans="3:3" x14ac:dyDescent="0.15">
      <c r="C82" s="41" t="s">
        <v>787</v>
      </c>
    </row>
    <row r="83" spans="3:3" x14ac:dyDescent="0.15">
      <c r="C83" s="41" t="s">
        <v>788</v>
      </c>
    </row>
    <row r="84" spans="3:3" x14ac:dyDescent="0.15">
      <c r="C84" s="41" t="s">
        <v>789</v>
      </c>
    </row>
    <row r="85" spans="3:3" x14ac:dyDescent="0.15">
      <c r="C85" s="41" t="s">
        <v>790</v>
      </c>
    </row>
    <row r="86" spans="3:3" x14ac:dyDescent="0.15">
      <c r="C86" s="41" t="s">
        <v>791</v>
      </c>
    </row>
    <row r="87" spans="3:3" x14ac:dyDescent="0.15">
      <c r="C87" s="41" t="s">
        <v>792</v>
      </c>
    </row>
    <row r="88" spans="3:3" x14ac:dyDescent="0.15">
      <c r="C88" s="41" t="s">
        <v>793</v>
      </c>
    </row>
    <row r="89" spans="3:3" x14ac:dyDescent="0.15">
      <c r="C89" s="41" t="s">
        <v>803</v>
      </c>
    </row>
    <row r="90" spans="3:3" x14ac:dyDescent="0.15">
      <c r="C90" s="41" t="s">
        <v>804</v>
      </c>
    </row>
    <row r="91" spans="3:3" x14ac:dyDescent="0.15">
      <c r="C91" s="41" t="s">
        <v>805</v>
      </c>
    </row>
    <row r="92" spans="3:3" x14ac:dyDescent="0.15">
      <c r="C92" s="41" t="s">
        <v>806</v>
      </c>
    </row>
    <row r="93" spans="3:3" x14ac:dyDescent="0.15">
      <c r="C93" s="41" t="s">
        <v>794</v>
      </c>
    </row>
    <row r="94" spans="3:3" x14ac:dyDescent="0.15">
      <c r="C94" s="41" t="s">
        <v>764</v>
      </c>
    </row>
    <row r="95" spans="3:3" x14ac:dyDescent="0.15">
      <c r="C95" s="41" t="s">
        <v>848</v>
      </c>
    </row>
    <row r="96" spans="3:3" x14ac:dyDescent="0.15">
      <c r="C96" s="41" t="s">
        <v>861</v>
      </c>
    </row>
    <row r="97" spans="3:3" x14ac:dyDescent="0.15">
      <c r="C97" s="41" t="s">
        <v>849</v>
      </c>
    </row>
    <row r="98" spans="3:3" x14ac:dyDescent="0.15">
      <c r="C98" s="41" t="s">
        <v>850</v>
      </c>
    </row>
    <row r="99" spans="3:3" x14ac:dyDescent="0.15">
      <c r="C99" s="41" t="s">
        <v>851</v>
      </c>
    </row>
    <row r="100" spans="3:3" x14ac:dyDescent="0.15">
      <c r="C100" s="41" t="s">
        <v>852</v>
      </c>
    </row>
    <row r="101" spans="3:3" x14ac:dyDescent="0.15">
      <c r="C101" s="41" t="s">
        <v>853</v>
      </c>
    </row>
    <row r="102" spans="3:3" x14ac:dyDescent="0.15">
      <c r="C102" s="41" t="s">
        <v>854</v>
      </c>
    </row>
    <row r="103" spans="3:3" x14ac:dyDescent="0.15">
      <c r="C103" s="41" t="s">
        <v>855</v>
      </c>
    </row>
    <row r="104" spans="3:3" x14ac:dyDescent="0.15">
      <c r="C104" s="41" t="s">
        <v>856</v>
      </c>
    </row>
    <row r="105" spans="3:3" x14ac:dyDescent="0.15">
      <c r="C105" s="41" t="s">
        <v>857</v>
      </c>
    </row>
    <row r="106" spans="3:3" x14ac:dyDescent="0.15">
      <c r="C106" s="41" t="s">
        <v>862</v>
      </c>
    </row>
    <row r="107" spans="3:3" x14ac:dyDescent="0.15">
      <c r="C107" s="41" t="s">
        <v>863</v>
      </c>
    </row>
    <row r="108" spans="3:3" x14ac:dyDescent="0.15">
      <c r="C108" s="41" t="s">
        <v>864</v>
      </c>
    </row>
    <row r="109" spans="3:3" x14ac:dyDescent="0.15">
      <c r="C109" s="41" t="s">
        <v>865</v>
      </c>
    </row>
    <row r="110" spans="3:3" x14ac:dyDescent="0.15">
      <c r="C110" s="41" t="s">
        <v>866</v>
      </c>
    </row>
    <row r="111" spans="3:3" x14ac:dyDescent="0.15">
      <c r="C111" s="41" t="s">
        <v>867</v>
      </c>
    </row>
    <row r="112" spans="3:3" x14ac:dyDescent="0.15">
      <c r="C112" s="41" t="s">
        <v>868</v>
      </c>
    </row>
    <row r="113" spans="3:3" x14ac:dyDescent="0.15">
      <c r="C113" s="41" t="s">
        <v>869</v>
      </c>
    </row>
    <row r="114" spans="3:3" x14ac:dyDescent="0.15">
      <c r="C114" s="41" t="s">
        <v>870</v>
      </c>
    </row>
    <row r="115" spans="3:3" x14ac:dyDescent="0.15">
      <c r="C115" s="41" t="s">
        <v>871</v>
      </c>
    </row>
    <row r="116" spans="3:3" x14ac:dyDescent="0.15">
      <c r="C116" s="41" t="s">
        <v>872</v>
      </c>
    </row>
    <row r="117" spans="3:3" x14ac:dyDescent="0.15">
      <c r="C117" s="41" t="s">
        <v>873</v>
      </c>
    </row>
    <row r="118" spans="3:3" x14ac:dyDescent="0.15">
      <c r="C118" s="41" t="s">
        <v>874</v>
      </c>
    </row>
    <row r="119" spans="3:3" x14ac:dyDescent="0.15">
      <c r="C119" s="41" t="s">
        <v>875</v>
      </c>
    </row>
    <row r="120" spans="3:3" x14ac:dyDescent="0.15">
      <c r="C120" s="41" t="s">
        <v>876</v>
      </c>
    </row>
    <row r="121" spans="3:3" x14ac:dyDescent="0.15">
      <c r="C121" s="41" t="s">
        <v>877</v>
      </c>
    </row>
    <row r="122" spans="3:3" x14ac:dyDescent="0.15">
      <c r="C122" s="41" t="s">
        <v>878</v>
      </c>
    </row>
    <row r="123" spans="3:3" x14ac:dyDescent="0.15">
      <c r="C123" s="41" t="s">
        <v>879</v>
      </c>
    </row>
    <row r="124" spans="3:3" x14ac:dyDescent="0.15">
      <c r="C124" s="41" t="s">
        <v>880</v>
      </c>
    </row>
    <row r="125" spans="3:3" x14ac:dyDescent="0.15">
      <c r="C125" s="41" t="s">
        <v>881</v>
      </c>
    </row>
    <row r="126" spans="3:3" x14ac:dyDescent="0.15">
      <c r="C126" s="41" t="s">
        <v>882</v>
      </c>
    </row>
    <row r="127" spans="3:3" x14ac:dyDescent="0.15">
      <c r="C127" s="41" t="s">
        <v>883</v>
      </c>
    </row>
    <row r="128" spans="3:3" x14ac:dyDescent="0.15">
      <c r="C128" s="41" t="s">
        <v>884</v>
      </c>
    </row>
    <row r="129" spans="3:3" x14ac:dyDescent="0.15">
      <c r="C129" s="41" t="s">
        <v>766</v>
      </c>
    </row>
    <row r="130" spans="3:3" x14ac:dyDescent="0.15">
      <c r="C130" s="33"/>
    </row>
    <row r="131" spans="3:3" x14ac:dyDescent="0.15">
      <c r="C131" s="33"/>
    </row>
    <row r="132" spans="3:3" x14ac:dyDescent="0.15">
      <c r="C132" s="33"/>
    </row>
    <row r="133" spans="3:3" x14ac:dyDescent="0.15">
      <c r="C133" s="33"/>
    </row>
    <row r="134" spans="3:3" x14ac:dyDescent="0.15">
      <c r="C134" s="33"/>
    </row>
    <row r="135" spans="3:3" x14ac:dyDescent="0.15">
      <c r="C135" s="33"/>
    </row>
    <row r="136" spans="3:3" x14ac:dyDescent="0.15">
      <c r="C136" s="33"/>
    </row>
    <row r="137" spans="3:3" x14ac:dyDescent="0.15">
      <c r="C137" s="33"/>
    </row>
    <row r="138" spans="3:3" x14ac:dyDescent="0.15">
      <c r="C138" s="33"/>
    </row>
    <row r="139" spans="3:3" x14ac:dyDescent="0.15">
      <c r="C139" s="33"/>
    </row>
    <row r="140" spans="3:3" x14ac:dyDescent="0.15">
      <c r="C140" s="33"/>
    </row>
    <row r="141" spans="3:3" x14ac:dyDescent="0.15">
      <c r="C141" s="33"/>
    </row>
    <row r="142" spans="3:3" x14ac:dyDescent="0.15">
      <c r="C142" s="33"/>
    </row>
    <row r="143" spans="3:3" x14ac:dyDescent="0.15">
      <c r="C143" s="33"/>
    </row>
    <row r="144" spans="3:3" x14ac:dyDescent="0.15">
      <c r="C144" s="33"/>
    </row>
    <row r="145" spans="3:3" x14ac:dyDescent="0.15">
      <c r="C145" s="33"/>
    </row>
    <row r="146" spans="3:3" x14ac:dyDescent="0.15">
      <c r="C146" s="33"/>
    </row>
    <row r="147" spans="3:3" x14ac:dyDescent="0.15">
      <c r="C147" s="33"/>
    </row>
    <row r="148" spans="3:3" x14ac:dyDescent="0.15">
      <c r="C148" s="33"/>
    </row>
    <row r="149" spans="3:3" x14ac:dyDescent="0.15">
      <c r="C149" s="33"/>
    </row>
    <row r="150" spans="3:3" x14ac:dyDescent="0.15">
      <c r="C150" s="33"/>
    </row>
    <row r="151" spans="3:3" x14ac:dyDescent="0.15">
      <c r="C151" s="33"/>
    </row>
    <row r="152" spans="3:3" x14ac:dyDescent="0.15">
      <c r="C152" s="33"/>
    </row>
    <row r="153" spans="3:3" x14ac:dyDescent="0.15">
      <c r="C153" s="33"/>
    </row>
    <row r="154" spans="3:3" x14ac:dyDescent="0.15">
      <c r="C154" s="33"/>
    </row>
    <row r="155" spans="3:3" x14ac:dyDescent="0.15">
      <c r="C155" s="33"/>
    </row>
    <row r="156" spans="3:3" x14ac:dyDescent="0.15">
      <c r="C156" s="33"/>
    </row>
    <row r="157" spans="3:3" x14ac:dyDescent="0.15">
      <c r="C157" s="33"/>
    </row>
    <row r="158" spans="3:3" x14ac:dyDescent="0.15">
      <c r="C158" s="33"/>
    </row>
    <row r="159" spans="3:3" x14ac:dyDescent="0.15">
      <c r="C159" s="33"/>
    </row>
    <row r="160" spans="3:3" x14ac:dyDescent="0.15">
      <c r="C160" s="33" t="s">
        <v>488</v>
      </c>
    </row>
    <row r="161" spans="3:3" x14ac:dyDescent="0.15">
      <c r="C161" s="33" t="s">
        <v>489</v>
      </c>
    </row>
    <row r="162" spans="3:3" x14ac:dyDescent="0.15">
      <c r="C162" s="33" t="s">
        <v>490</v>
      </c>
    </row>
    <row r="163" spans="3:3" x14ac:dyDescent="0.15">
      <c r="C163" s="33" t="s">
        <v>491</v>
      </c>
    </row>
    <row r="164" spans="3:3" x14ac:dyDescent="0.15">
      <c r="C164" s="33" t="s">
        <v>492</v>
      </c>
    </row>
    <row r="165" spans="3:3" x14ac:dyDescent="0.15">
      <c r="C165" s="33" t="s">
        <v>493</v>
      </c>
    </row>
    <row r="166" spans="3:3" x14ac:dyDescent="0.15">
      <c r="C166" s="33" t="s">
        <v>494</v>
      </c>
    </row>
    <row r="167" spans="3:3" x14ac:dyDescent="0.15">
      <c r="C167" s="33" t="s">
        <v>499</v>
      </c>
    </row>
    <row r="168" spans="3:3" x14ac:dyDescent="0.15">
      <c r="C168" s="33" t="s">
        <v>500</v>
      </c>
    </row>
    <row r="169" spans="3:3" x14ac:dyDescent="0.15">
      <c r="C169" s="33" t="s">
        <v>487</v>
      </c>
    </row>
    <row r="170" spans="3:3" x14ac:dyDescent="0.15">
      <c r="C170" s="33" t="s">
        <v>495</v>
      </c>
    </row>
    <row r="171" spans="3:3" x14ac:dyDescent="0.15">
      <c r="C171" s="33" t="s">
        <v>496</v>
      </c>
    </row>
    <row r="172" spans="3:3" x14ac:dyDescent="0.15">
      <c r="C172" s="33" t="s">
        <v>497</v>
      </c>
    </row>
    <row r="173" spans="3:3" x14ac:dyDescent="0.15">
      <c r="C173" s="33" t="s">
        <v>337</v>
      </c>
    </row>
    <row r="174" spans="3:3" x14ac:dyDescent="0.15">
      <c r="C174" s="33" t="s">
        <v>511</v>
      </c>
    </row>
    <row r="175" spans="3:3" x14ac:dyDescent="0.15">
      <c r="C175" s="33" t="s">
        <v>536</v>
      </c>
    </row>
    <row r="176" spans="3:3" x14ac:dyDescent="0.15">
      <c r="C176" s="33" t="s">
        <v>537</v>
      </c>
    </row>
    <row r="177" spans="3:3" x14ac:dyDescent="0.15">
      <c r="C177" s="33" t="s">
        <v>538</v>
      </c>
    </row>
    <row r="178" spans="3:3" x14ac:dyDescent="0.15">
      <c r="C178" s="33" t="s">
        <v>512</v>
      </c>
    </row>
    <row r="179" spans="3:3" x14ac:dyDescent="0.15">
      <c r="C179" s="33" t="s">
        <v>513</v>
      </c>
    </row>
    <row r="180" spans="3:3" x14ac:dyDescent="0.15">
      <c r="C180" s="33" t="s">
        <v>514</v>
      </c>
    </row>
    <row r="181" spans="3:3" x14ac:dyDescent="0.15">
      <c r="C181" s="33" t="s">
        <v>515</v>
      </c>
    </row>
    <row r="182" spans="3:3" x14ac:dyDescent="0.15">
      <c r="C182" s="33" t="s">
        <v>516</v>
      </c>
    </row>
    <row r="183" spans="3:3" x14ac:dyDescent="0.15">
      <c r="C183" s="33" t="s">
        <v>517</v>
      </c>
    </row>
    <row r="184" spans="3:3" x14ac:dyDescent="0.15">
      <c r="C184" s="33" t="s">
        <v>518</v>
      </c>
    </row>
    <row r="185" spans="3:3" x14ac:dyDescent="0.15">
      <c r="C185" s="33" t="s">
        <v>519</v>
      </c>
    </row>
    <row r="186" spans="3:3" x14ac:dyDescent="0.15">
      <c r="C186" s="33" t="s">
        <v>520</v>
      </c>
    </row>
    <row r="187" spans="3:3" x14ac:dyDescent="0.15">
      <c r="C187" s="33" t="s">
        <v>521</v>
      </c>
    </row>
    <row r="188" spans="3:3" x14ac:dyDescent="0.15">
      <c r="C188" s="33" t="s">
        <v>522</v>
      </c>
    </row>
    <row r="189" spans="3:3" x14ac:dyDescent="0.15">
      <c r="C189" s="33" t="s">
        <v>523</v>
      </c>
    </row>
    <row r="190" spans="3:3" x14ac:dyDescent="0.15">
      <c r="C190" s="33" t="s">
        <v>524</v>
      </c>
    </row>
    <row r="191" spans="3:3" x14ac:dyDescent="0.15">
      <c r="C191" s="33" t="s">
        <v>525</v>
      </c>
    </row>
    <row r="192" spans="3:3" x14ac:dyDescent="0.15">
      <c r="C192" s="33" t="s">
        <v>526</v>
      </c>
    </row>
    <row r="193" spans="3:3" x14ac:dyDescent="0.15">
      <c r="C193" s="33" t="s">
        <v>527</v>
      </c>
    </row>
    <row r="194" spans="3:3" x14ac:dyDescent="0.15">
      <c r="C194" s="33" t="s">
        <v>528</v>
      </c>
    </row>
    <row r="195" spans="3:3" x14ac:dyDescent="0.15">
      <c r="C195" s="33" t="s">
        <v>529</v>
      </c>
    </row>
    <row r="196" spans="3:3" x14ac:dyDescent="0.15">
      <c r="C196" s="33" t="s">
        <v>530</v>
      </c>
    </row>
    <row r="197" spans="3:3" x14ac:dyDescent="0.15">
      <c r="C197" s="33" t="s">
        <v>531</v>
      </c>
    </row>
    <row r="198" spans="3:3" x14ac:dyDescent="0.15">
      <c r="C198" s="33" t="s">
        <v>532</v>
      </c>
    </row>
    <row r="199" spans="3:3" x14ac:dyDescent="0.15">
      <c r="C199" s="33" t="s">
        <v>135</v>
      </c>
    </row>
    <row r="200" spans="3:3" x14ac:dyDescent="0.15">
      <c r="C200" s="12" t="s">
        <v>42</v>
      </c>
    </row>
    <row r="201" spans="3:3" x14ac:dyDescent="0.15">
      <c r="C201" s="12" t="s">
        <v>42</v>
      </c>
    </row>
    <row r="202" spans="3:3" x14ac:dyDescent="0.15">
      <c r="C202" s="12" t="s">
        <v>42</v>
      </c>
    </row>
    <row r="203" spans="3:3" x14ac:dyDescent="0.15">
      <c r="C203" s="12" t="s">
        <v>42</v>
      </c>
    </row>
    <row r="204" spans="3:3" x14ac:dyDescent="0.15">
      <c r="C204" s="12" t="s">
        <v>42</v>
      </c>
    </row>
    <row r="205" spans="3:3" x14ac:dyDescent="0.15">
      <c r="C205" s="12" t="s">
        <v>42</v>
      </c>
    </row>
    <row r="206" spans="3:3" x14ac:dyDescent="0.15">
      <c r="C206" s="12" t="s">
        <v>42</v>
      </c>
    </row>
    <row r="207" spans="3:3" x14ac:dyDescent="0.15">
      <c r="C207" s="12" t="s">
        <v>42</v>
      </c>
    </row>
    <row r="208" spans="3:3" x14ac:dyDescent="0.15">
      <c r="C208" s="12" t="s">
        <v>42</v>
      </c>
    </row>
    <row r="209" spans="3:3" x14ac:dyDescent="0.15">
      <c r="C209" s="12" t="s">
        <v>42</v>
      </c>
    </row>
    <row r="210" spans="3:3" x14ac:dyDescent="0.15">
      <c r="C210" s="12" t="s">
        <v>42</v>
      </c>
    </row>
    <row r="211" spans="3:3" x14ac:dyDescent="0.15">
      <c r="C211" s="12" t="s">
        <v>42</v>
      </c>
    </row>
    <row r="212" spans="3:3" x14ac:dyDescent="0.15">
      <c r="C212" s="12" t="s">
        <v>42</v>
      </c>
    </row>
    <row r="213" spans="3:3" x14ac:dyDescent="0.15">
      <c r="C213" s="12" t="s">
        <v>42</v>
      </c>
    </row>
    <row r="214" spans="3:3" x14ac:dyDescent="0.15">
      <c r="C214" s="34"/>
    </row>
    <row r="215" spans="3:3" x14ac:dyDescent="0.15">
      <c r="C215" s="34" t="s">
        <v>544</v>
      </c>
    </row>
    <row r="216" spans="3:3" x14ac:dyDescent="0.15">
      <c r="C216" s="34" t="s">
        <v>545</v>
      </c>
    </row>
    <row r="217" spans="3:3" x14ac:dyDescent="0.15">
      <c r="C217" s="34" t="s">
        <v>546</v>
      </c>
    </row>
    <row r="218" spans="3:3" x14ac:dyDescent="0.15">
      <c r="C218" s="34" t="s">
        <v>547</v>
      </c>
    </row>
    <row r="219" spans="3:3" x14ac:dyDescent="0.15">
      <c r="C219" s="34" t="s">
        <v>548</v>
      </c>
    </row>
    <row r="220" spans="3:3" x14ac:dyDescent="0.15">
      <c r="C220" s="34" t="s">
        <v>549</v>
      </c>
    </row>
    <row r="221" spans="3:3" x14ac:dyDescent="0.15">
      <c r="C221" s="34" t="s">
        <v>550</v>
      </c>
    </row>
    <row r="222" spans="3:3" x14ac:dyDescent="0.15">
      <c r="C222" s="34" t="s">
        <v>551</v>
      </c>
    </row>
    <row r="223" spans="3:3" x14ac:dyDescent="0.15">
      <c r="C223" s="12" t="s">
        <v>42</v>
      </c>
    </row>
    <row r="224" spans="3:3" x14ac:dyDescent="0.15">
      <c r="C224" s="12" t="s">
        <v>42</v>
      </c>
    </row>
    <row r="225" spans="3:3" x14ac:dyDescent="0.15">
      <c r="C225" s="34" t="s">
        <v>582</v>
      </c>
    </row>
    <row r="226" spans="3:3" x14ac:dyDescent="0.15">
      <c r="C226" s="34" t="s">
        <v>583</v>
      </c>
    </row>
    <row r="227" spans="3:3" x14ac:dyDescent="0.15">
      <c r="C227" s="34" t="s">
        <v>584</v>
      </c>
    </row>
    <row r="228" spans="3:3" x14ac:dyDescent="0.15">
      <c r="C228" s="34" t="s">
        <v>585</v>
      </c>
    </row>
    <row r="229" spans="3:3" x14ac:dyDescent="0.15">
      <c r="C229" s="34" t="s">
        <v>586</v>
      </c>
    </row>
    <row r="230" spans="3:3" x14ac:dyDescent="0.15">
      <c r="C230" s="34" t="s">
        <v>587</v>
      </c>
    </row>
    <row r="231" spans="3:3" x14ac:dyDescent="0.15">
      <c r="C231" s="34" t="s">
        <v>588</v>
      </c>
    </row>
    <row r="232" spans="3:3" x14ac:dyDescent="0.15">
      <c r="C232" s="34" t="s">
        <v>589</v>
      </c>
    </row>
    <row r="233" spans="3:3" x14ac:dyDescent="0.15">
      <c r="C233" s="34" t="s">
        <v>590</v>
      </c>
    </row>
    <row r="234" spans="3:3" x14ac:dyDescent="0.15">
      <c r="C234" s="34" t="s">
        <v>591</v>
      </c>
    </row>
    <row r="235" spans="3:3" x14ac:dyDescent="0.15">
      <c r="C235" s="34" t="s">
        <v>592</v>
      </c>
    </row>
    <row r="236" spans="3:3" x14ac:dyDescent="0.15">
      <c r="C236" s="34" t="s">
        <v>593</v>
      </c>
    </row>
    <row r="237" spans="3:3" x14ac:dyDescent="0.15">
      <c r="C237" s="34" t="s">
        <v>594</v>
      </c>
    </row>
    <row r="238" spans="3:3" x14ac:dyDescent="0.15">
      <c r="C238" s="34" t="s">
        <v>595</v>
      </c>
    </row>
    <row r="239" spans="3:3" x14ac:dyDescent="0.15">
      <c r="C239" s="34" t="s">
        <v>596</v>
      </c>
    </row>
    <row r="240" spans="3:3" x14ac:dyDescent="0.15">
      <c r="C240" s="34" t="s">
        <v>597</v>
      </c>
    </row>
    <row r="241" spans="3:3" x14ac:dyDescent="0.15">
      <c r="C241" s="34" t="s">
        <v>598</v>
      </c>
    </row>
    <row r="242" spans="3:3" x14ac:dyDescent="0.15">
      <c r="C242" s="34" t="s">
        <v>599</v>
      </c>
    </row>
    <row r="243" spans="3:3" x14ac:dyDescent="0.15">
      <c r="C243" s="34" t="s">
        <v>600</v>
      </c>
    </row>
    <row r="244" spans="3:3" x14ac:dyDescent="0.15">
      <c r="C244" s="34" t="s">
        <v>601</v>
      </c>
    </row>
    <row r="245" spans="3:3" x14ac:dyDescent="0.15">
      <c r="C245" s="34" t="s">
        <v>602</v>
      </c>
    </row>
    <row r="246" spans="3:3" x14ac:dyDescent="0.15">
      <c r="C246" s="34" t="s">
        <v>135</v>
      </c>
    </row>
    <row r="247" spans="3:3" x14ac:dyDescent="0.15">
      <c r="C247" s="35" t="s">
        <v>618</v>
      </c>
    </row>
    <row r="248" spans="3:3" x14ac:dyDescent="0.15">
      <c r="C248" s="35" t="s">
        <v>619</v>
      </c>
    </row>
    <row r="249" spans="3:3" x14ac:dyDescent="0.15">
      <c r="C249" s="35" t="s">
        <v>620</v>
      </c>
    </row>
    <row r="250" spans="3:3" x14ac:dyDescent="0.15">
      <c r="C250" s="35" t="s">
        <v>621</v>
      </c>
    </row>
    <row r="251" spans="3:3" x14ac:dyDescent="0.15">
      <c r="C251" s="35" t="s">
        <v>622</v>
      </c>
    </row>
    <row r="252" spans="3:3" x14ac:dyDescent="0.15">
      <c r="C252" s="35" t="s">
        <v>623</v>
      </c>
    </row>
    <row r="253" spans="3:3" x14ac:dyDescent="0.15">
      <c r="C253" s="35" t="s">
        <v>624</v>
      </c>
    </row>
    <row r="254" spans="3:3" x14ac:dyDescent="0.15">
      <c r="C254" s="35" t="s">
        <v>625</v>
      </c>
    </row>
    <row r="255" spans="3:3" x14ac:dyDescent="0.15">
      <c r="C255" s="35" t="s">
        <v>626</v>
      </c>
    </row>
    <row r="256" spans="3:3" x14ac:dyDescent="0.15">
      <c r="C256" s="35" t="s">
        <v>627</v>
      </c>
    </row>
    <row r="257" spans="3:3" x14ac:dyDescent="0.15">
      <c r="C257" s="35" t="s">
        <v>628</v>
      </c>
    </row>
    <row r="258" spans="3:3" x14ac:dyDescent="0.15">
      <c r="C258" s="35" t="s">
        <v>629</v>
      </c>
    </row>
    <row r="259" spans="3:3" x14ac:dyDescent="0.15">
      <c r="C259" s="35" t="s">
        <v>630</v>
      </c>
    </row>
    <row r="260" spans="3:3" x14ac:dyDescent="0.15">
      <c r="C260" s="35" t="s">
        <v>631</v>
      </c>
    </row>
    <row r="261" spans="3:3" x14ac:dyDescent="0.15">
      <c r="C261" s="35" t="s">
        <v>639</v>
      </c>
    </row>
    <row r="262" spans="3:3" x14ac:dyDescent="0.15">
      <c r="C262" s="35" t="s">
        <v>640</v>
      </c>
    </row>
    <row r="263" spans="3:3" x14ac:dyDescent="0.15">
      <c r="C263" s="35" t="s">
        <v>647</v>
      </c>
    </row>
    <row r="264" spans="3:3" x14ac:dyDescent="0.15">
      <c r="C264" s="35" t="s">
        <v>641</v>
      </c>
    </row>
    <row r="265" spans="3:3" x14ac:dyDescent="0.15">
      <c r="C265" s="35" t="s">
        <v>642</v>
      </c>
    </row>
    <row r="266" spans="3:3" x14ac:dyDescent="0.15">
      <c r="C266" s="35" t="s">
        <v>135</v>
      </c>
    </row>
    <row r="267" spans="3:3" x14ac:dyDescent="0.15">
      <c r="C267" s="40" t="s">
        <v>690</v>
      </c>
    </row>
    <row r="268" spans="3:3" x14ac:dyDescent="0.15">
      <c r="C268" s="40" t="s">
        <v>691</v>
      </c>
    </row>
    <row r="269" spans="3:3" x14ac:dyDescent="0.15">
      <c r="C269" s="40" t="s">
        <v>692</v>
      </c>
    </row>
    <row r="270" spans="3:3" x14ac:dyDescent="0.15">
      <c r="C270" s="40" t="s">
        <v>693</v>
      </c>
    </row>
    <row r="271" spans="3:3" x14ac:dyDescent="0.15">
      <c r="C271" s="40" t="s">
        <v>694</v>
      </c>
    </row>
    <row r="272" spans="3:3" x14ac:dyDescent="0.15">
      <c r="C272" s="40" t="s">
        <v>695</v>
      </c>
    </row>
    <row r="273" spans="3:3" x14ac:dyDescent="0.15">
      <c r="C273" s="40" t="s">
        <v>696</v>
      </c>
    </row>
    <row r="274" spans="3:3" x14ac:dyDescent="0.15">
      <c r="C274" s="40" t="s">
        <v>697</v>
      </c>
    </row>
    <row r="275" spans="3:3" x14ac:dyDescent="0.15">
      <c r="C275" s="40" t="s">
        <v>698</v>
      </c>
    </row>
    <row r="276" spans="3:3" x14ac:dyDescent="0.15">
      <c r="C276" s="40" t="s">
        <v>699</v>
      </c>
    </row>
    <row r="277" spans="3:3" x14ac:dyDescent="0.15">
      <c r="C277" s="40" t="s">
        <v>700</v>
      </c>
    </row>
    <row r="278" spans="3:3" x14ac:dyDescent="0.15">
      <c r="C278" s="40" t="s">
        <v>701</v>
      </c>
    </row>
    <row r="279" spans="3:3" x14ac:dyDescent="0.15">
      <c r="C279" s="40" t="s">
        <v>702</v>
      </c>
    </row>
    <row r="280" spans="3:3" x14ac:dyDescent="0.15">
      <c r="C280" s="40" t="s">
        <v>703</v>
      </c>
    </row>
    <row r="281" spans="3:3" x14ac:dyDescent="0.15">
      <c r="C281" s="40" t="s">
        <v>704</v>
      </c>
    </row>
    <row r="282" spans="3:3" x14ac:dyDescent="0.15">
      <c r="C282" s="40" t="s">
        <v>705</v>
      </c>
    </row>
    <row r="283" spans="3:3" x14ac:dyDescent="0.15">
      <c r="C283" s="40" t="s">
        <v>706</v>
      </c>
    </row>
    <row r="284" spans="3:3" x14ac:dyDescent="0.15">
      <c r="C284" s="40" t="s">
        <v>135</v>
      </c>
    </row>
    <row r="285" spans="3:3" x14ac:dyDescent="0.15">
      <c r="C285" s="41" t="s">
        <v>733</v>
      </c>
    </row>
    <row r="286" spans="3:3" x14ac:dyDescent="0.15">
      <c r="C286" s="41" t="s">
        <v>734</v>
      </c>
    </row>
    <row r="287" spans="3:3" x14ac:dyDescent="0.15">
      <c r="C287" s="41" t="s">
        <v>735</v>
      </c>
    </row>
    <row r="288" spans="3:3" x14ac:dyDescent="0.15">
      <c r="C288" s="41" t="s">
        <v>736</v>
      </c>
    </row>
    <row r="289" spans="3:3" x14ac:dyDescent="0.15">
      <c r="C289" s="41" t="s">
        <v>737</v>
      </c>
    </row>
    <row r="290" spans="3:3" x14ac:dyDescent="0.15">
      <c r="C290" s="43" t="s">
        <v>1001</v>
      </c>
    </row>
    <row r="291" spans="3:3" x14ac:dyDescent="0.15">
      <c r="C291" s="41" t="s">
        <v>738</v>
      </c>
    </row>
    <row r="292" spans="3:3" x14ac:dyDescent="0.15">
      <c r="C292" s="41" t="s">
        <v>739</v>
      </c>
    </row>
    <row r="293" spans="3:3" x14ac:dyDescent="0.15">
      <c r="C293" s="41" t="s">
        <v>740</v>
      </c>
    </row>
    <row r="294" spans="3:3" x14ac:dyDescent="0.15">
      <c r="C294" s="41" t="s">
        <v>741</v>
      </c>
    </row>
    <row r="295" spans="3:3" x14ac:dyDescent="0.15">
      <c r="C295" s="41" t="s">
        <v>742</v>
      </c>
    </row>
    <row r="296" spans="3:3" x14ac:dyDescent="0.15">
      <c r="C296" s="41" t="s">
        <v>743</v>
      </c>
    </row>
    <row r="297" spans="3:3" x14ac:dyDescent="0.15">
      <c r="C297" s="41" t="s">
        <v>744</v>
      </c>
    </row>
    <row r="298" spans="3:3" x14ac:dyDescent="0.15">
      <c r="C298" s="41" t="s">
        <v>745</v>
      </c>
    </row>
    <row r="299" spans="3:3" x14ac:dyDescent="0.15">
      <c r="C299" s="41" t="s">
        <v>746</v>
      </c>
    </row>
    <row r="300" spans="3:3" x14ac:dyDescent="0.15">
      <c r="C300" s="41" t="s">
        <v>747</v>
      </c>
    </row>
    <row r="301" spans="3:3" x14ac:dyDescent="0.15">
      <c r="C301" s="41" t="s">
        <v>748</v>
      </c>
    </row>
    <row r="302" spans="3:3" x14ac:dyDescent="0.15">
      <c r="C302" s="41" t="s">
        <v>749</v>
      </c>
    </row>
    <row r="303" spans="3:3" x14ac:dyDescent="0.15">
      <c r="C303" s="41" t="s">
        <v>750</v>
      </c>
    </row>
    <row r="304" spans="3:3" x14ac:dyDescent="0.15">
      <c r="C304" s="41" t="s">
        <v>751</v>
      </c>
    </row>
    <row r="305" spans="3:3" x14ac:dyDescent="0.15">
      <c r="C305" s="41" t="s">
        <v>752</v>
      </c>
    </row>
    <row r="306" spans="3:3" x14ac:dyDescent="0.15">
      <c r="C306" s="41" t="s">
        <v>753</v>
      </c>
    </row>
    <row r="307" spans="3:3" x14ac:dyDescent="0.15">
      <c r="C307" s="41" t="s">
        <v>135</v>
      </c>
    </row>
    <row r="308" spans="3:3" x14ac:dyDescent="0.15">
      <c r="C308" s="41" t="s">
        <v>767</v>
      </c>
    </row>
    <row r="309" spans="3:3" x14ac:dyDescent="0.15">
      <c r="C309" s="41" t="s">
        <v>765</v>
      </c>
    </row>
    <row r="310" spans="3:3" x14ac:dyDescent="0.15">
      <c r="C310" s="41" t="s">
        <v>768</v>
      </c>
    </row>
    <row r="311" spans="3:3" x14ac:dyDescent="0.15">
      <c r="C311" s="41" t="s">
        <v>135</v>
      </c>
    </row>
    <row r="312" spans="3:3" x14ac:dyDescent="0.15">
      <c r="C312" s="41" t="s">
        <v>906</v>
      </c>
    </row>
    <row r="313" spans="3:3" x14ac:dyDescent="0.15">
      <c r="C313" s="43" t="s">
        <v>902</v>
      </c>
    </row>
    <row r="314" spans="3:3" x14ac:dyDescent="0.15">
      <c r="C314" s="41" t="s">
        <v>889</v>
      </c>
    </row>
    <row r="315" spans="3:3" x14ac:dyDescent="0.15">
      <c r="C315" s="41" t="s">
        <v>890</v>
      </c>
    </row>
    <row r="316" spans="3:3" x14ac:dyDescent="0.15">
      <c r="C316" s="41" t="s">
        <v>903</v>
      </c>
    </row>
    <row r="317" spans="3:3" x14ac:dyDescent="0.15">
      <c r="C317" s="41" t="s">
        <v>904</v>
      </c>
    </row>
    <row r="318" spans="3:3" x14ac:dyDescent="0.15">
      <c r="C318" s="41" t="s">
        <v>891</v>
      </c>
    </row>
    <row r="319" spans="3:3" x14ac:dyDescent="0.15">
      <c r="C319" s="43" t="s">
        <v>982</v>
      </c>
    </row>
    <row r="320" spans="3:3" x14ac:dyDescent="0.15">
      <c r="C320" s="43" t="s">
        <v>926</v>
      </c>
    </row>
    <row r="321" spans="3:3" x14ac:dyDescent="0.15">
      <c r="C321" s="43" t="s">
        <v>927</v>
      </c>
    </row>
    <row r="322" spans="3:3" x14ac:dyDescent="0.15">
      <c r="C322" s="43" t="s">
        <v>928</v>
      </c>
    </row>
    <row r="323" spans="3:3" x14ac:dyDescent="0.15">
      <c r="C323" s="43" t="s">
        <v>999</v>
      </c>
    </row>
    <row r="324" spans="3:3" x14ac:dyDescent="0.15">
      <c r="C324" s="43" t="s">
        <v>983</v>
      </c>
    </row>
    <row r="325" spans="3:3" x14ac:dyDescent="0.15">
      <c r="C325" s="43" t="s">
        <v>986</v>
      </c>
    </row>
    <row r="326" spans="3:3" x14ac:dyDescent="0.15">
      <c r="C326" s="43" t="s">
        <v>929</v>
      </c>
    </row>
    <row r="327" spans="3:3" x14ac:dyDescent="0.15">
      <c r="C327" s="43" t="s">
        <v>930</v>
      </c>
    </row>
    <row r="328" spans="3:3" x14ac:dyDescent="0.15">
      <c r="C328" s="43" t="s">
        <v>931</v>
      </c>
    </row>
    <row r="329" spans="3:3" x14ac:dyDescent="0.15">
      <c r="C329" s="43" t="s">
        <v>932</v>
      </c>
    </row>
    <row r="330" spans="3:3" x14ac:dyDescent="0.15">
      <c r="C330" s="43" t="s">
        <v>933</v>
      </c>
    </row>
    <row r="331" spans="3:3" x14ac:dyDescent="0.15">
      <c r="C331" s="43" t="s">
        <v>934</v>
      </c>
    </row>
    <row r="332" spans="3:3" x14ac:dyDescent="0.15">
      <c r="C332" s="43" t="s">
        <v>935</v>
      </c>
    </row>
    <row r="333" spans="3:3" x14ac:dyDescent="0.15">
      <c r="C333" s="43" t="s">
        <v>936</v>
      </c>
    </row>
    <row r="334" spans="3:3" x14ac:dyDescent="0.15">
      <c r="C334" s="43" t="s">
        <v>937</v>
      </c>
    </row>
    <row r="335" spans="3:3" x14ac:dyDescent="0.15">
      <c r="C335" s="43" t="s">
        <v>938</v>
      </c>
    </row>
    <row r="336" spans="3:3" x14ac:dyDescent="0.15">
      <c r="C336" s="43" t="s">
        <v>939</v>
      </c>
    </row>
    <row r="337" spans="3:3" x14ac:dyDescent="0.15">
      <c r="C337" s="43" t="s">
        <v>940</v>
      </c>
    </row>
    <row r="338" spans="3:3" x14ac:dyDescent="0.15">
      <c r="C338" s="43" t="s">
        <v>987</v>
      </c>
    </row>
    <row r="339" spans="3:3" x14ac:dyDescent="0.15">
      <c r="C339" s="43" t="s">
        <v>941</v>
      </c>
    </row>
    <row r="340" spans="3:3" x14ac:dyDescent="0.15">
      <c r="C340" s="43" t="s">
        <v>942</v>
      </c>
    </row>
    <row r="341" spans="3:3" x14ac:dyDescent="0.15">
      <c r="C341" s="43" t="s">
        <v>943</v>
      </c>
    </row>
    <row r="342" spans="3:3" x14ac:dyDescent="0.15">
      <c r="C342" s="43" t="s">
        <v>944</v>
      </c>
    </row>
    <row r="343" spans="3:3" x14ac:dyDescent="0.15">
      <c r="C343" s="43" t="s">
        <v>945</v>
      </c>
    </row>
    <row r="344" spans="3:3" x14ac:dyDescent="0.15">
      <c r="C344" s="43" t="s">
        <v>946</v>
      </c>
    </row>
    <row r="345" spans="3:3" x14ac:dyDescent="0.15">
      <c r="C345" s="43" t="s">
        <v>947</v>
      </c>
    </row>
    <row r="346" spans="3:3" x14ac:dyDescent="0.15">
      <c r="C346" s="43" t="s">
        <v>948</v>
      </c>
    </row>
    <row r="347" spans="3:3" x14ac:dyDescent="0.15">
      <c r="C347" s="43" t="s">
        <v>949</v>
      </c>
    </row>
    <row r="348" spans="3:3" x14ac:dyDescent="0.15">
      <c r="C348" s="43" t="s">
        <v>950</v>
      </c>
    </row>
    <row r="349" spans="3:3" x14ac:dyDescent="0.15">
      <c r="C349" s="43" t="s">
        <v>951</v>
      </c>
    </row>
    <row r="350" spans="3:3" x14ac:dyDescent="0.15">
      <c r="C350" s="43" t="s">
        <v>952</v>
      </c>
    </row>
    <row r="351" spans="3:3" x14ac:dyDescent="0.15">
      <c r="C351" s="43" t="s">
        <v>1000</v>
      </c>
    </row>
    <row r="352" spans="3:3" x14ac:dyDescent="0.15">
      <c r="C352" s="43" t="s">
        <v>988</v>
      </c>
    </row>
    <row r="353" spans="3:3" x14ac:dyDescent="0.15">
      <c r="C353" s="43" t="s">
        <v>989</v>
      </c>
    </row>
    <row r="354" spans="3:3" x14ac:dyDescent="0.15">
      <c r="C354" s="43" t="s">
        <v>990</v>
      </c>
    </row>
    <row r="355" spans="3:3" x14ac:dyDescent="0.15">
      <c r="C355" s="43" t="s">
        <v>991</v>
      </c>
    </row>
    <row r="356" spans="3:3" x14ac:dyDescent="0.15">
      <c r="C356" s="43" t="s">
        <v>992</v>
      </c>
    </row>
    <row r="357" spans="3:3" x14ac:dyDescent="0.15">
      <c r="C357" s="43" t="s">
        <v>993</v>
      </c>
    </row>
    <row r="358" spans="3:3" x14ac:dyDescent="0.15">
      <c r="C358" s="43" t="s">
        <v>994</v>
      </c>
    </row>
    <row r="359" spans="3:3" x14ac:dyDescent="0.15">
      <c r="C359" s="43" t="s">
        <v>995</v>
      </c>
    </row>
    <row r="360" spans="3:3" x14ac:dyDescent="0.15">
      <c r="C360" s="43" t="s">
        <v>996</v>
      </c>
    </row>
    <row r="361" spans="3:3" x14ac:dyDescent="0.15">
      <c r="C361" s="43" t="s">
        <v>1002</v>
      </c>
    </row>
    <row r="362" spans="3:3" x14ac:dyDescent="0.15">
      <c r="C362" s="43"/>
    </row>
    <row r="363" spans="3:3" x14ac:dyDescent="0.15">
      <c r="C363" s="43"/>
    </row>
    <row r="364" spans="3:3" x14ac:dyDescent="0.15">
      <c r="C364" s="43" t="s">
        <v>953</v>
      </c>
    </row>
    <row r="365" spans="3:3" x14ac:dyDescent="0.15">
      <c r="C365" s="43" t="s">
        <v>954</v>
      </c>
    </row>
    <row r="366" spans="3:3" x14ac:dyDescent="0.15">
      <c r="C366" s="43" t="s">
        <v>955</v>
      </c>
    </row>
    <row r="367" spans="3:3" x14ac:dyDescent="0.15">
      <c r="C367" s="43" t="s">
        <v>956</v>
      </c>
    </row>
    <row r="368" spans="3:3" x14ac:dyDescent="0.15">
      <c r="C368" s="43" t="s">
        <v>957</v>
      </c>
    </row>
    <row r="369" spans="3:3" x14ac:dyDescent="0.15">
      <c r="C369" s="43" t="s">
        <v>958</v>
      </c>
    </row>
    <row r="370" spans="3:3" x14ac:dyDescent="0.15">
      <c r="C370" s="43" t="s">
        <v>959</v>
      </c>
    </row>
    <row r="371" spans="3:3" x14ac:dyDescent="0.15">
      <c r="C371" s="43" t="s">
        <v>960</v>
      </c>
    </row>
    <row r="372" spans="3:3" x14ac:dyDescent="0.15">
      <c r="C372" s="43" t="s">
        <v>961</v>
      </c>
    </row>
    <row r="373" spans="3:3" x14ac:dyDescent="0.15">
      <c r="C373" s="43" t="s">
        <v>962</v>
      </c>
    </row>
    <row r="374" spans="3:3" x14ac:dyDescent="0.15">
      <c r="C374" s="43" t="s">
        <v>963</v>
      </c>
    </row>
    <row r="375" spans="3:3" x14ac:dyDescent="0.15">
      <c r="C375" s="43" t="s">
        <v>964</v>
      </c>
    </row>
    <row r="376" spans="3:3" x14ac:dyDescent="0.15">
      <c r="C376" s="43" t="s">
        <v>965</v>
      </c>
    </row>
    <row r="377" spans="3:3" x14ac:dyDescent="0.15">
      <c r="C377" s="43" t="s">
        <v>966</v>
      </c>
    </row>
    <row r="378" spans="3:3" x14ac:dyDescent="0.15">
      <c r="C378" s="43" t="s">
        <v>967</v>
      </c>
    </row>
    <row r="379" spans="3:3" x14ac:dyDescent="0.15">
      <c r="C379" s="43" t="s">
        <v>968</v>
      </c>
    </row>
    <row r="380" spans="3:3" x14ac:dyDescent="0.15">
      <c r="C380" s="43" t="s">
        <v>969</v>
      </c>
    </row>
    <row r="381" spans="3:3" x14ac:dyDescent="0.15">
      <c r="C381" s="43" t="s">
        <v>970</v>
      </c>
    </row>
    <row r="382" spans="3:3" x14ac:dyDescent="0.15">
      <c r="C382" s="43" t="s">
        <v>971</v>
      </c>
    </row>
    <row r="383" spans="3:3" x14ac:dyDescent="0.15">
      <c r="C383" s="43" t="s">
        <v>972</v>
      </c>
    </row>
    <row r="384" spans="3:3" x14ac:dyDescent="0.15">
      <c r="C384" s="43" t="s">
        <v>973</v>
      </c>
    </row>
    <row r="385" spans="3:3" x14ac:dyDescent="0.15">
      <c r="C385" s="43" t="s">
        <v>974</v>
      </c>
    </row>
    <row r="386" spans="3:3" x14ac:dyDescent="0.15">
      <c r="C386" s="43" t="s">
        <v>975</v>
      </c>
    </row>
    <row r="387" spans="3:3" x14ac:dyDescent="0.15">
      <c r="C387" s="43" t="s">
        <v>976</v>
      </c>
    </row>
    <row r="388" spans="3:3" x14ac:dyDescent="0.15">
      <c r="C388" s="43" t="s">
        <v>977</v>
      </c>
    </row>
    <row r="389" spans="3:3" x14ac:dyDescent="0.15">
      <c r="C389" s="43" t="s">
        <v>978</v>
      </c>
    </row>
    <row r="390" spans="3:3" x14ac:dyDescent="0.15">
      <c r="C390" s="43" t="s">
        <v>979</v>
      </c>
    </row>
    <row r="391" spans="3:3" x14ac:dyDescent="0.15">
      <c r="C391" s="43" t="s">
        <v>980</v>
      </c>
    </row>
    <row r="392" spans="3:3" x14ac:dyDescent="0.15">
      <c r="C392" s="43" t="s">
        <v>981</v>
      </c>
    </row>
    <row r="393" spans="3:3" x14ac:dyDescent="0.15">
      <c r="C393" s="43" t="s">
        <v>1301</v>
      </c>
    </row>
    <row r="394" spans="3:3" x14ac:dyDescent="0.15">
      <c r="C394" s="43" t="s">
        <v>1302</v>
      </c>
    </row>
    <row r="395" spans="3:3" x14ac:dyDescent="0.15">
      <c r="C395" s="43" t="s">
        <v>1303</v>
      </c>
    </row>
    <row r="396" spans="3:3" x14ac:dyDescent="0.15">
      <c r="C396" s="43" t="s">
        <v>1304</v>
      </c>
    </row>
    <row r="397" spans="3:3" x14ac:dyDescent="0.15">
      <c r="C397" s="43" t="s">
        <v>1305</v>
      </c>
    </row>
    <row r="398" spans="3:3" x14ac:dyDescent="0.15">
      <c r="C398" s="43" t="s">
        <v>1306</v>
      </c>
    </row>
    <row r="399" spans="3:3" x14ac:dyDescent="0.15">
      <c r="C399" s="43" t="s">
        <v>1307</v>
      </c>
    </row>
    <row r="400" spans="3:3" x14ac:dyDescent="0.15">
      <c r="C400" s="43" t="s">
        <v>1308</v>
      </c>
    </row>
    <row r="401" spans="3:3" x14ac:dyDescent="0.15">
      <c r="C401" s="43" t="s">
        <v>1309</v>
      </c>
    </row>
    <row r="402" spans="3:3" x14ac:dyDescent="0.15">
      <c r="C402" s="43" t="s">
        <v>1310</v>
      </c>
    </row>
    <row r="403" spans="3:3" x14ac:dyDescent="0.15">
      <c r="C403" s="43" t="s">
        <v>1311</v>
      </c>
    </row>
    <row r="404" spans="3:3" x14ac:dyDescent="0.15">
      <c r="C404" s="43" t="s">
        <v>1312</v>
      </c>
    </row>
    <row r="405" spans="3:3" x14ac:dyDescent="0.15">
      <c r="C405" s="43" t="s">
        <v>1313</v>
      </c>
    </row>
    <row r="406" spans="3:3" x14ac:dyDescent="0.15">
      <c r="C406" s="43" t="s">
        <v>1314</v>
      </c>
    </row>
    <row r="407" spans="3:3" x14ac:dyDescent="0.15">
      <c r="C407" s="43" t="s">
        <v>1315</v>
      </c>
    </row>
    <row r="408" spans="3:3" x14ac:dyDescent="0.15">
      <c r="C408" s="43" t="s">
        <v>1316</v>
      </c>
    </row>
    <row r="409" spans="3:3" x14ac:dyDescent="0.15">
      <c r="C409" s="43" t="s">
        <v>1317</v>
      </c>
    </row>
    <row r="410" spans="3:3" x14ac:dyDescent="0.15">
      <c r="C410" s="43" t="s">
        <v>1318</v>
      </c>
    </row>
    <row r="411" spans="3:3" x14ac:dyDescent="0.15">
      <c r="C411" s="43" t="s">
        <v>1319</v>
      </c>
    </row>
    <row r="412" spans="3:3" x14ac:dyDescent="0.15">
      <c r="C412" s="43" t="s">
        <v>1320</v>
      </c>
    </row>
    <row r="413" spans="3:3" x14ac:dyDescent="0.15">
      <c r="C413" s="12" t="s">
        <v>42</v>
      </c>
    </row>
    <row r="414" spans="3:3" x14ac:dyDescent="0.15">
      <c r="C414" s="12" t="s">
        <v>42</v>
      </c>
    </row>
    <row r="415" spans="3:3" x14ac:dyDescent="0.15">
      <c r="C415" s="12" t="s">
        <v>42</v>
      </c>
    </row>
    <row r="416" spans="3:3" x14ac:dyDescent="0.15">
      <c r="C416" s="12" t="s">
        <v>42</v>
      </c>
    </row>
    <row r="417" spans="3:3" x14ac:dyDescent="0.15">
      <c r="C417" s="12" t="s">
        <v>42</v>
      </c>
    </row>
    <row r="418" spans="3:3" x14ac:dyDescent="0.15">
      <c r="C418" s="12" t="s">
        <v>42</v>
      </c>
    </row>
    <row r="419" spans="3:3" x14ac:dyDescent="0.15">
      <c r="C419" s="12" t="s">
        <v>42</v>
      </c>
    </row>
    <row r="420" spans="3:3" x14ac:dyDescent="0.15">
      <c r="C420" s="12" t="s">
        <v>42</v>
      </c>
    </row>
    <row r="421" spans="3:3" x14ac:dyDescent="0.15">
      <c r="C421" s="12" t="s">
        <v>42</v>
      </c>
    </row>
    <row r="422" spans="3:3" x14ac:dyDescent="0.15">
      <c r="C422" s="12" t="s">
        <v>42</v>
      </c>
    </row>
    <row r="423" spans="3:3" x14ac:dyDescent="0.15">
      <c r="C423" s="12" t="s">
        <v>42</v>
      </c>
    </row>
    <row r="424" spans="3:3" x14ac:dyDescent="0.15">
      <c r="C424" s="12" t="s">
        <v>42</v>
      </c>
    </row>
    <row r="425" spans="3:3" x14ac:dyDescent="0.15">
      <c r="C425" s="12" t="s">
        <v>42</v>
      </c>
    </row>
    <row r="426" spans="3:3" x14ac:dyDescent="0.15">
      <c r="C426" s="12" t="s">
        <v>42</v>
      </c>
    </row>
    <row r="427" spans="3:3" x14ac:dyDescent="0.15">
      <c r="C427" s="12" t="s">
        <v>42</v>
      </c>
    </row>
    <row r="428" spans="3:3" x14ac:dyDescent="0.15">
      <c r="C428" s="12" t="s">
        <v>42</v>
      </c>
    </row>
    <row r="429" spans="3:3" x14ac:dyDescent="0.15">
      <c r="C429" s="12" t="s">
        <v>42</v>
      </c>
    </row>
    <row r="430" spans="3:3" x14ac:dyDescent="0.15">
      <c r="C430" s="12" t="s">
        <v>42</v>
      </c>
    </row>
    <row r="431" spans="3:3" x14ac:dyDescent="0.15">
      <c r="C431" s="12" t="s">
        <v>42</v>
      </c>
    </row>
    <row r="432" spans="3:3" x14ac:dyDescent="0.15">
      <c r="C432" s="12" t="s">
        <v>42</v>
      </c>
    </row>
    <row r="433" spans="3:3" x14ac:dyDescent="0.15">
      <c r="C433" s="12" t="s">
        <v>42</v>
      </c>
    </row>
    <row r="434" spans="3:3" x14ac:dyDescent="0.15">
      <c r="C434" s="12" t="s">
        <v>42</v>
      </c>
    </row>
    <row r="435" spans="3:3" x14ac:dyDescent="0.15">
      <c r="C435" s="12" t="s">
        <v>42</v>
      </c>
    </row>
    <row r="436" spans="3:3" x14ac:dyDescent="0.15">
      <c r="C436" s="12" t="s">
        <v>42</v>
      </c>
    </row>
    <row r="437" spans="3:3" x14ac:dyDescent="0.15">
      <c r="C437" s="12" t="s">
        <v>42</v>
      </c>
    </row>
    <row r="438" spans="3:3" x14ac:dyDescent="0.15">
      <c r="C438" s="12" t="s">
        <v>42</v>
      </c>
    </row>
    <row r="439" spans="3:3" x14ac:dyDescent="0.15">
      <c r="C439" s="12" t="s">
        <v>42</v>
      </c>
    </row>
    <row r="440" spans="3:3" x14ac:dyDescent="0.15">
      <c r="C440" s="12" t="s">
        <v>42</v>
      </c>
    </row>
    <row r="441" spans="3:3" x14ac:dyDescent="0.15">
      <c r="C441" s="12" t="s">
        <v>42</v>
      </c>
    </row>
    <row r="442" spans="3:3" x14ac:dyDescent="0.15">
      <c r="C442" s="12" t="s">
        <v>42</v>
      </c>
    </row>
    <row r="443" spans="3:3" x14ac:dyDescent="0.15">
      <c r="C443" s="12" t="s">
        <v>42</v>
      </c>
    </row>
    <row r="444" spans="3:3" x14ac:dyDescent="0.15">
      <c r="C444" s="12" t="s">
        <v>42</v>
      </c>
    </row>
    <row r="445" spans="3:3" x14ac:dyDescent="0.15">
      <c r="C445" s="12" t="s">
        <v>42</v>
      </c>
    </row>
    <row r="446" spans="3:3" x14ac:dyDescent="0.15">
      <c r="C446" s="12" t="s">
        <v>42</v>
      </c>
    </row>
    <row r="447" spans="3:3" x14ac:dyDescent="0.15">
      <c r="C447" s="12" t="s">
        <v>42</v>
      </c>
    </row>
    <row r="448" spans="3:3" x14ac:dyDescent="0.15">
      <c r="C448" s="12" t="s">
        <v>42</v>
      </c>
    </row>
    <row r="449" spans="3:3" x14ac:dyDescent="0.15">
      <c r="C449" s="12" t="s">
        <v>42</v>
      </c>
    </row>
    <row r="450" spans="3:3" x14ac:dyDescent="0.15">
      <c r="C450" s="12" t="s">
        <v>42</v>
      </c>
    </row>
    <row r="451" spans="3:3" x14ac:dyDescent="0.15">
      <c r="C451" s="12" t="s">
        <v>42</v>
      </c>
    </row>
    <row r="452" spans="3:3" x14ac:dyDescent="0.15">
      <c r="C452" s="12" t="s">
        <v>42</v>
      </c>
    </row>
    <row r="453" spans="3:3" x14ac:dyDescent="0.15">
      <c r="C453" s="12" t="s">
        <v>42</v>
      </c>
    </row>
    <row r="454" spans="3:3" x14ac:dyDescent="0.15">
      <c r="C454" s="12" t="s">
        <v>42</v>
      </c>
    </row>
    <row r="455" spans="3:3" x14ac:dyDescent="0.15">
      <c r="C455" s="12" t="s">
        <v>42</v>
      </c>
    </row>
    <row r="456" spans="3:3" x14ac:dyDescent="0.15">
      <c r="C456" s="12" t="s">
        <v>42</v>
      </c>
    </row>
    <row r="457" spans="3:3" x14ac:dyDescent="0.15">
      <c r="C457" s="12" t="s">
        <v>42</v>
      </c>
    </row>
    <row r="458" spans="3:3" x14ac:dyDescent="0.15">
      <c r="C458" s="12" t="s">
        <v>42</v>
      </c>
    </row>
    <row r="459" spans="3:3" x14ac:dyDescent="0.15">
      <c r="C459" s="12" t="s">
        <v>42</v>
      </c>
    </row>
    <row r="460" spans="3:3" x14ac:dyDescent="0.15">
      <c r="C460" s="12" t="s">
        <v>42</v>
      </c>
    </row>
    <row r="461" spans="3:3" x14ac:dyDescent="0.15">
      <c r="C461" s="12" t="s">
        <v>42</v>
      </c>
    </row>
    <row r="462" spans="3:3" x14ac:dyDescent="0.15">
      <c r="C462" s="12" t="s">
        <v>42</v>
      </c>
    </row>
    <row r="463" spans="3:3" x14ac:dyDescent="0.15">
      <c r="C463" s="12" t="s">
        <v>42</v>
      </c>
    </row>
    <row r="464" spans="3:3" x14ac:dyDescent="0.15">
      <c r="C464" s="12" t="s">
        <v>42</v>
      </c>
    </row>
    <row r="465" spans="3:3" x14ac:dyDescent="0.15">
      <c r="C465" s="12" t="s">
        <v>42</v>
      </c>
    </row>
    <row r="466" spans="3:3" x14ac:dyDescent="0.15">
      <c r="C466" s="12" t="s">
        <v>42</v>
      </c>
    </row>
    <row r="467" spans="3:3" x14ac:dyDescent="0.15">
      <c r="C467" s="12" t="s">
        <v>42</v>
      </c>
    </row>
    <row r="468" spans="3:3" x14ac:dyDescent="0.15">
      <c r="C468" s="12" t="s">
        <v>42</v>
      </c>
    </row>
    <row r="469" spans="3:3" x14ac:dyDescent="0.15">
      <c r="C469" s="12" t="s">
        <v>42</v>
      </c>
    </row>
    <row r="470" spans="3:3" x14ac:dyDescent="0.15">
      <c r="C470" s="12" t="s">
        <v>42</v>
      </c>
    </row>
    <row r="471" spans="3:3" x14ac:dyDescent="0.15">
      <c r="C471" s="12" t="s">
        <v>42</v>
      </c>
    </row>
    <row r="472" spans="3:3" x14ac:dyDescent="0.15">
      <c r="C472" s="12" t="s">
        <v>42</v>
      </c>
    </row>
    <row r="473" spans="3:3" x14ac:dyDescent="0.15">
      <c r="C473" s="12" t="s">
        <v>42</v>
      </c>
    </row>
    <row r="474" spans="3:3" x14ac:dyDescent="0.15">
      <c r="C474" s="12" t="s">
        <v>42</v>
      </c>
    </row>
    <row r="475" spans="3:3" x14ac:dyDescent="0.15">
      <c r="C475" s="12" t="s">
        <v>42</v>
      </c>
    </row>
    <row r="476" spans="3:3" x14ac:dyDescent="0.15">
      <c r="C476" s="12" t="s">
        <v>42</v>
      </c>
    </row>
    <row r="477" spans="3:3" x14ac:dyDescent="0.15">
      <c r="C477" s="12" t="s">
        <v>42</v>
      </c>
    </row>
    <row r="478" spans="3:3" x14ac:dyDescent="0.15">
      <c r="C478" s="12" t="s">
        <v>42</v>
      </c>
    </row>
    <row r="479" spans="3:3" x14ac:dyDescent="0.15">
      <c r="C479" s="12" t="s">
        <v>42</v>
      </c>
    </row>
    <row r="480" spans="3:3" x14ac:dyDescent="0.15">
      <c r="C480" s="12" t="s">
        <v>42</v>
      </c>
    </row>
    <row r="481" spans="3:3" x14ac:dyDescent="0.15">
      <c r="C481" s="12" t="s">
        <v>42</v>
      </c>
    </row>
    <row r="482" spans="3:3" x14ac:dyDescent="0.15">
      <c r="C482" s="12" t="s">
        <v>42</v>
      </c>
    </row>
    <row r="483" spans="3:3" x14ac:dyDescent="0.15">
      <c r="C483" s="12" t="s">
        <v>42</v>
      </c>
    </row>
    <row r="484" spans="3:3" x14ac:dyDescent="0.15">
      <c r="C484" s="12" t="s">
        <v>42</v>
      </c>
    </row>
    <row r="485" spans="3:3" x14ac:dyDescent="0.15">
      <c r="C485" s="12" t="s">
        <v>42</v>
      </c>
    </row>
    <row r="486" spans="3:3" x14ac:dyDescent="0.15">
      <c r="C486" s="12" t="s">
        <v>42</v>
      </c>
    </row>
    <row r="487" spans="3:3" x14ac:dyDescent="0.15">
      <c r="C487" s="12" t="s">
        <v>42</v>
      </c>
    </row>
    <row r="488" spans="3:3" x14ac:dyDescent="0.15">
      <c r="C488" s="12" t="s">
        <v>42</v>
      </c>
    </row>
    <row r="489" spans="3:3" x14ac:dyDescent="0.15">
      <c r="C489" s="12" t="s">
        <v>42</v>
      </c>
    </row>
    <row r="490" spans="3:3" x14ac:dyDescent="0.15">
      <c r="C490" s="12" t="s">
        <v>42</v>
      </c>
    </row>
    <row r="491" spans="3:3" x14ac:dyDescent="0.15">
      <c r="C491" s="12" t="s">
        <v>42</v>
      </c>
    </row>
    <row r="492" spans="3:3" x14ac:dyDescent="0.15">
      <c r="C492" s="12" t="s">
        <v>42</v>
      </c>
    </row>
    <row r="493" spans="3:3" x14ac:dyDescent="0.15">
      <c r="C493" s="12" t="s">
        <v>42</v>
      </c>
    </row>
    <row r="494" spans="3:3" x14ac:dyDescent="0.15">
      <c r="C494" s="12" t="s">
        <v>42</v>
      </c>
    </row>
    <row r="495" spans="3:3" x14ac:dyDescent="0.15">
      <c r="C495" s="12" t="s">
        <v>42</v>
      </c>
    </row>
    <row r="496" spans="3:3" x14ac:dyDescent="0.15">
      <c r="C496" s="12" t="s">
        <v>42</v>
      </c>
    </row>
    <row r="497" spans="3:3" x14ac:dyDescent="0.15">
      <c r="C497" s="12" t="s">
        <v>42</v>
      </c>
    </row>
    <row r="498" spans="3:3" x14ac:dyDescent="0.15">
      <c r="C498" s="12" t="s">
        <v>42</v>
      </c>
    </row>
    <row r="499" spans="3:3" x14ac:dyDescent="0.15">
      <c r="C499" s="12" t="s">
        <v>42</v>
      </c>
    </row>
    <row r="500" spans="3:3" x14ac:dyDescent="0.15">
      <c r="C500" s="12" t="s">
        <v>42</v>
      </c>
    </row>
    <row r="501" spans="3:3" x14ac:dyDescent="0.15">
      <c r="C501" s="12" t="s">
        <v>42</v>
      </c>
    </row>
    <row r="502" spans="3:3" x14ac:dyDescent="0.15">
      <c r="C502" s="12" t="s">
        <v>42</v>
      </c>
    </row>
    <row r="503" spans="3:3" x14ac:dyDescent="0.15">
      <c r="C503" s="12" t="s">
        <v>42</v>
      </c>
    </row>
    <row r="504" spans="3:3" x14ac:dyDescent="0.15">
      <c r="C504" s="12" t="s">
        <v>42</v>
      </c>
    </row>
    <row r="505" spans="3:3" x14ac:dyDescent="0.15">
      <c r="C505" s="12" t="s">
        <v>42</v>
      </c>
    </row>
    <row r="506" spans="3:3" x14ac:dyDescent="0.15">
      <c r="C506" s="12" t="s">
        <v>42</v>
      </c>
    </row>
    <row r="507" spans="3:3" x14ac:dyDescent="0.15">
      <c r="C507" s="12" t="s">
        <v>42</v>
      </c>
    </row>
    <row r="508" spans="3:3" x14ac:dyDescent="0.15">
      <c r="C508" s="12" t="s">
        <v>42</v>
      </c>
    </row>
    <row r="509" spans="3:3" x14ac:dyDescent="0.15">
      <c r="C509" s="12" t="s">
        <v>42</v>
      </c>
    </row>
    <row r="510" spans="3:3" x14ac:dyDescent="0.15">
      <c r="C510" s="12" t="s">
        <v>42</v>
      </c>
    </row>
    <row r="511" spans="3:3" x14ac:dyDescent="0.15">
      <c r="C511" s="12" t="s">
        <v>42</v>
      </c>
    </row>
    <row r="512" spans="3:3" x14ac:dyDescent="0.15">
      <c r="C512" s="12" t="s">
        <v>42</v>
      </c>
    </row>
    <row r="513" spans="3:3" x14ac:dyDescent="0.15">
      <c r="C513" s="12" t="s">
        <v>42</v>
      </c>
    </row>
    <row r="514" spans="3:3" x14ac:dyDescent="0.15">
      <c r="C514" s="12" t="s">
        <v>42</v>
      </c>
    </row>
    <row r="515" spans="3:3" x14ac:dyDescent="0.15">
      <c r="C515" s="12" t="s">
        <v>42</v>
      </c>
    </row>
    <row r="516" spans="3:3" x14ac:dyDescent="0.15">
      <c r="C516" s="12" t="s">
        <v>42</v>
      </c>
    </row>
    <row r="517" spans="3:3" x14ac:dyDescent="0.15">
      <c r="C517" s="12" t="s">
        <v>42</v>
      </c>
    </row>
    <row r="518" spans="3:3" x14ac:dyDescent="0.15">
      <c r="C518" s="12" t="s">
        <v>42</v>
      </c>
    </row>
    <row r="519" spans="3:3" x14ac:dyDescent="0.15">
      <c r="C519" s="12" t="s">
        <v>42</v>
      </c>
    </row>
    <row r="520" spans="3:3" x14ac:dyDescent="0.15">
      <c r="C520" s="12" t="s">
        <v>42</v>
      </c>
    </row>
    <row r="521" spans="3:3" x14ac:dyDescent="0.15">
      <c r="C521" s="12" t="s">
        <v>42</v>
      </c>
    </row>
    <row r="522" spans="3:3" x14ac:dyDescent="0.15">
      <c r="C522" s="12" t="s">
        <v>42</v>
      </c>
    </row>
    <row r="523" spans="3:3" x14ac:dyDescent="0.15">
      <c r="C523" s="12" t="s">
        <v>42</v>
      </c>
    </row>
    <row r="524" spans="3:3" x14ac:dyDescent="0.15">
      <c r="C524" s="12" t="s">
        <v>42</v>
      </c>
    </row>
    <row r="525" spans="3:3" x14ac:dyDescent="0.15">
      <c r="C525" s="12" t="s">
        <v>42</v>
      </c>
    </row>
    <row r="526" spans="3:3" x14ac:dyDescent="0.15">
      <c r="C526" s="12" t="s">
        <v>42</v>
      </c>
    </row>
    <row r="527" spans="3:3" x14ac:dyDescent="0.15">
      <c r="C527" s="12" t="s">
        <v>42</v>
      </c>
    </row>
    <row r="528" spans="3:3" x14ac:dyDescent="0.15">
      <c r="C528" s="12" t="s">
        <v>42</v>
      </c>
    </row>
    <row r="529" spans="3:3" x14ac:dyDescent="0.15">
      <c r="C529" s="12" t="s">
        <v>42</v>
      </c>
    </row>
    <row r="530" spans="3:3" x14ac:dyDescent="0.15">
      <c r="C530" s="12" t="s">
        <v>42</v>
      </c>
    </row>
    <row r="531" spans="3:3" x14ac:dyDescent="0.15">
      <c r="C531" s="12" t="s">
        <v>42</v>
      </c>
    </row>
    <row r="532" spans="3:3" x14ac:dyDescent="0.15">
      <c r="C532" s="12" t="s">
        <v>42</v>
      </c>
    </row>
    <row r="533" spans="3:3" x14ac:dyDescent="0.15">
      <c r="C533" s="12" t="s">
        <v>42</v>
      </c>
    </row>
    <row r="534" spans="3:3" x14ac:dyDescent="0.15">
      <c r="C534" s="12" t="s">
        <v>42</v>
      </c>
    </row>
    <row r="535" spans="3:3" x14ac:dyDescent="0.15">
      <c r="C535" s="12" t="s">
        <v>42</v>
      </c>
    </row>
    <row r="536" spans="3:3" x14ac:dyDescent="0.15">
      <c r="C536" s="12" t="s">
        <v>42</v>
      </c>
    </row>
    <row r="537" spans="3:3" x14ac:dyDescent="0.15">
      <c r="C537" s="12" t="s">
        <v>42</v>
      </c>
    </row>
    <row r="538" spans="3:3" x14ac:dyDescent="0.15">
      <c r="C538" s="12" t="s">
        <v>42</v>
      </c>
    </row>
    <row r="539" spans="3:3" x14ac:dyDescent="0.15">
      <c r="C539" s="12" t="s">
        <v>42</v>
      </c>
    </row>
    <row r="540" spans="3:3" x14ac:dyDescent="0.15">
      <c r="C540" s="12" t="s">
        <v>42</v>
      </c>
    </row>
    <row r="541" spans="3:3" x14ac:dyDescent="0.15">
      <c r="C541" s="12" t="s">
        <v>42</v>
      </c>
    </row>
    <row r="542" spans="3:3" x14ac:dyDescent="0.15">
      <c r="C542" s="12" t="s">
        <v>42</v>
      </c>
    </row>
    <row r="543" spans="3:3" x14ac:dyDescent="0.15">
      <c r="C543" s="12" t="s">
        <v>42</v>
      </c>
    </row>
    <row r="544" spans="3:3" x14ac:dyDescent="0.15">
      <c r="C544" s="12" t="s">
        <v>42</v>
      </c>
    </row>
    <row r="545" spans="3:3" x14ac:dyDescent="0.15">
      <c r="C545" s="12" t="s">
        <v>42</v>
      </c>
    </row>
    <row r="546" spans="3:3" x14ac:dyDescent="0.15">
      <c r="C546" s="12" t="s">
        <v>42</v>
      </c>
    </row>
    <row r="547" spans="3:3" x14ac:dyDescent="0.15">
      <c r="C547" s="12" t="s">
        <v>42</v>
      </c>
    </row>
    <row r="548" spans="3:3" x14ac:dyDescent="0.15">
      <c r="C548" s="12" t="s">
        <v>42</v>
      </c>
    </row>
    <row r="549" spans="3:3" x14ac:dyDescent="0.15">
      <c r="C549" s="12" t="s">
        <v>42</v>
      </c>
    </row>
    <row r="550" spans="3:3" x14ac:dyDescent="0.15">
      <c r="C550" s="12" t="s">
        <v>42</v>
      </c>
    </row>
    <row r="551" spans="3:3" x14ac:dyDescent="0.15">
      <c r="C551" s="12" t="s">
        <v>42</v>
      </c>
    </row>
    <row r="552" spans="3:3" x14ac:dyDescent="0.15">
      <c r="C552" s="12" t="s">
        <v>42</v>
      </c>
    </row>
    <row r="553" spans="3:3" x14ac:dyDescent="0.15">
      <c r="C553" s="12" t="s">
        <v>42</v>
      </c>
    </row>
    <row r="554" spans="3:3" x14ac:dyDescent="0.15">
      <c r="C554" s="12" t="s">
        <v>42</v>
      </c>
    </row>
    <row r="555" spans="3:3" x14ac:dyDescent="0.15">
      <c r="C555" s="12" t="s">
        <v>42</v>
      </c>
    </row>
    <row r="556" spans="3:3" x14ac:dyDescent="0.15">
      <c r="C556" s="12" t="s">
        <v>42</v>
      </c>
    </row>
    <row r="557" spans="3:3" x14ac:dyDescent="0.15">
      <c r="C557" s="12" t="s">
        <v>42</v>
      </c>
    </row>
    <row r="558" spans="3:3" x14ac:dyDescent="0.15">
      <c r="C558" s="12" t="s">
        <v>42</v>
      </c>
    </row>
    <row r="559" spans="3:3" x14ac:dyDescent="0.15">
      <c r="C559" s="12" t="s">
        <v>42</v>
      </c>
    </row>
    <row r="560" spans="3:3" x14ac:dyDescent="0.15">
      <c r="C560" s="12" t="s">
        <v>42</v>
      </c>
    </row>
    <row r="561" spans="3:3" x14ac:dyDescent="0.15">
      <c r="C561" s="12" t="s">
        <v>42</v>
      </c>
    </row>
    <row r="562" spans="3:3" x14ac:dyDescent="0.15">
      <c r="C562" s="12" t="s">
        <v>42</v>
      </c>
    </row>
    <row r="563" spans="3:3" x14ac:dyDescent="0.15">
      <c r="C563" s="12" t="s">
        <v>42</v>
      </c>
    </row>
    <row r="564" spans="3:3" x14ac:dyDescent="0.15">
      <c r="C564" s="12" t="s">
        <v>42</v>
      </c>
    </row>
    <row r="565" spans="3:3" x14ac:dyDescent="0.15">
      <c r="C565" s="12" t="s">
        <v>42</v>
      </c>
    </row>
    <row r="566" spans="3:3" x14ac:dyDescent="0.15">
      <c r="C566" s="12" t="s">
        <v>42</v>
      </c>
    </row>
    <row r="567" spans="3:3" x14ac:dyDescent="0.15">
      <c r="C567" s="12" t="s">
        <v>42</v>
      </c>
    </row>
    <row r="568" spans="3:3" x14ac:dyDescent="0.15">
      <c r="C568" s="12" t="s">
        <v>42</v>
      </c>
    </row>
    <row r="569" spans="3:3" x14ac:dyDescent="0.15">
      <c r="C569" s="12" t="s">
        <v>42</v>
      </c>
    </row>
    <row r="570" spans="3:3" x14ac:dyDescent="0.15">
      <c r="C570" s="12" t="s">
        <v>42</v>
      </c>
    </row>
    <row r="571" spans="3:3" x14ac:dyDescent="0.15">
      <c r="C571" s="12" t="s">
        <v>42</v>
      </c>
    </row>
    <row r="572" spans="3:3" x14ac:dyDescent="0.15">
      <c r="C572" s="12" t="s">
        <v>42</v>
      </c>
    </row>
    <row r="573" spans="3:3" x14ac:dyDescent="0.15">
      <c r="C573" s="12" t="s">
        <v>42</v>
      </c>
    </row>
    <row r="574" spans="3:3" x14ac:dyDescent="0.15">
      <c r="C574" s="12" t="s">
        <v>42</v>
      </c>
    </row>
    <row r="575" spans="3:3" x14ac:dyDescent="0.15">
      <c r="C575" s="12" t="s">
        <v>42</v>
      </c>
    </row>
    <row r="576" spans="3:3" x14ac:dyDescent="0.15">
      <c r="C576" s="12" t="s">
        <v>42</v>
      </c>
    </row>
    <row r="577" spans="3:3" x14ac:dyDescent="0.15">
      <c r="C577" s="12" t="s">
        <v>42</v>
      </c>
    </row>
    <row r="578" spans="3:3" x14ac:dyDescent="0.15">
      <c r="C578" s="12" t="s">
        <v>42</v>
      </c>
    </row>
    <row r="579" spans="3:3" x14ac:dyDescent="0.15">
      <c r="C579" s="12" t="s">
        <v>42</v>
      </c>
    </row>
    <row r="580" spans="3:3" x14ac:dyDescent="0.15">
      <c r="C580" s="12" t="s">
        <v>42</v>
      </c>
    </row>
    <row r="581" spans="3:3" x14ac:dyDescent="0.15">
      <c r="C581" s="12" t="s">
        <v>42</v>
      </c>
    </row>
    <row r="582" spans="3:3" x14ac:dyDescent="0.15">
      <c r="C582" s="12" t="s">
        <v>42</v>
      </c>
    </row>
    <row r="583" spans="3:3" x14ac:dyDescent="0.15">
      <c r="C583" s="12" t="s">
        <v>42</v>
      </c>
    </row>
    <row r="584" spans="3:3" x14ac:dyDescent="0.15">
      <c r="C584" s="12" t="s">
        <v>42</v>
      </c>
    </row>
    <row r="585" spans="3:3" x14ac:dyDescent="0.15">
      <c r="C585" s="12" t="s">
        <v>42</v>
      </c>
    </row>
    <row r="586" spans="3:3" x14ac:dyDescent="0.15">
      <c r="C586" s="12" t="s">
        <v>42</v>
      </c>
    </row>
    <row r="587" spans="3:3" x14ac:dyDescent="0.15">
      <c r="C587" s="12" t="s">
        <v>42</v>
      </c>
    </row>
    <row r="588" spans="3:3" x14ac:dyDescent="0.15">
      <c r="C588" s="12" t="s">
        <v>42</v>
      </c>
    </row>
    <row r="589" spans="3:3" x14ac:dyDescent="0.15">
      <c r="C589" s="12" t="s">
        <v>42</v>
      </c>
    </row>
    <row r="590" spans="3:3" x14ac:dyDescent="0.15">
      <c r="C590" s="12" t="s">
        <v>42</v>
      </c>
    </row>
    <row r="591" spans="3:3" x14ac:dyDescent="0.15">
      <c r="C591" s="12" t="s">
        <v>42</v>
      </c>
    </row>
    <row r="592" spans="3:3" x14ac:dyDescent="0.15">
      <c r="C592" s="12" t="s">
        <v>42</v>
      </c>
    </row>
    <row r="593" spans="3:3" x14ac:dyDescent="0.15">
      <c r="C593" s="12" t="s">
        <v>42</v>
      </c>
    </row>
    <row r="594" spans="3:3" x14ac:dyDescent="0.15">
      <c r="C594" s="12" t="s">
        <v>42</v>
      </c>
    </row>
    <row r="595" spans="3:3" x14ac:dyDescent="0.15">
      <c r="C595" s="12" t="s">
        <v>42</v>
      </c>
    </row>
    <row r="596" spans="3:3" x14ac:dyDescent="0.15">
      <c r="C596" s="12" t="s">
        <v>42</v>
      </c>
    </row>
    <row r="597" spans="3:3" x14ac:dyDescent="0.15">
      <c r="C597" s="12" t="s">
        <v>42</v>
      </c>
    </row>
    <row r="598" spans="3:3" x14ac:dyDescent="0.15">
      <c r="C598" s="12" t="s">
        <v>42</v>
      </c>
    </row>
    <row r="599" spans="3:3" x14ac:dyDescent="0.15">
      <c r="C599" s="12" t="s">
        <v>42</v>
      </c>
    </row>
    <row r="600" spans="3:3" x14ac:dyDescent="0.15">
      <c r="C600" s="12" t="s">
        <v>42</v>
      </c>
    </row>
    <row r="601" spans="3:3" x14ac:dyDescent="0.15">
      <c r="C601" s="12" t="s">
        <v>42</v>
      </c>
    </row>
    <row r="602" spans="3:3" x14ac:dyDescent="0.15">
      <c r="C602" s="12" t="s">
        <v>42</v>
      </c>
    </row>
    <row r="603" spans="3:3" x14ac:dyDescent="0.15">
      <c r="C603" s="12" t="s">
        <v>42</v>
      </c>
    </row>
    <row r="604" spans="3:3" x14ac:dyDescent="0.15">
      <c r="C604" s="12" t="s">
        <v>42</v>
      </c>
    </row>
    <row r="605" spans="3:3" x14ac:dyDescent="0.15">
      <c r="C605" s="12" t="s">
        <v>42</v>
      </c>
    </row>
    <row r="606" spans="3:3" x14ac:dyDescent="0.15">
      <c r="C606" s="12" t="s">
        <v>42</v>
      </c>
    </row>
    <row r="607" spans="3:3" x14ac:dyDescent="0.15">
      <c r="C607" s="12" t="s">
        <v>42</v>
      </c>
    </row>
    <row r="608" spans="3:3" x14ac:dyDescent="0.15">
      <c r="C608" s="12" t="s">
        <v>42</v>
      </c>
    </row>
    <row r="609" spans="3:3" x14ac:dyDescent="0.15">
      <c r="C609" s="12" t="s">
        <v>42</v>
      </c>
    </row>
    <row r="610" spans="3:3" x14ac:dyDescent="0.15">
      <c r="C610" s="12" t="s">
        <v>42</v>
      </c>
    </row>
    <row r="611" spans="3:3" x14ac:dyDescent="0.15">
      <c r="C611" s="12" t="s">
        <v>42</v>
      </c>
    </row>
    <row r="612" spans="3:3" x14ac:dyDescent="0.15">
      <c r="C612" s="12" t="s">
        <v>42</v>
      </c>
    </row>
    <row r="613" spans="3:3" x14ac:dyDescent="0.15">
      <c r="C613" s="12" t="s">
        <v>42</v>
      </c>
    </row>
    <row r="614" spans="3:3" x14ac:dyDescent="0.15">
      <c r="C614" s="12" t="s">
        <v>42</v>
      </c>
    </row>
    <row r="615" spans="3:3" x14ac:dyDescent="0.15">
      <c r="C615" s="12" t="s">
        <v>42</v>
      </c>
    </row>
    <row r="616" spans="3:3" x14ac:dyDescent="0.15">
      <c r="C616" s="12" t="s">
        <v>42</v>
      </c>
    </row>
    <row r="617" spans="3:3" x14ac:dyDescent="0.15">
      <c r="C617" s="12" t="s">
        <v>42</v>
      </c>
    </row>
    <row r="618" spans="3:3" x14ac:dyDescent="0.15">
      <c r="C618" s="12" t="s">
        <v>42</v>
      </c>
    </row>
    <row r="619" spans="3:3" x14ac:dyDescent="0.15">
      <c r="C619" s="12" t="s">
        <v>42</v>
      </c>
    </row>
    <row r="620" spans="3:3" x14ac:dyDescent="0.15">
      <c r="C620" s="12" t="s">
        <v>42</v>
      </c>
    </row>
    <row r="621" spans="3:3" x14ac:dyDescent="0.15">
      <c r="C621" s="12" t="s">
        <v>42</v>
      </c>
    </row>
    <row r="622" spans="3:3" x14ac:dyDescent="0.15">
      <c r="C622" s="12" t="s">
        <v>42</v>
      </c>
    </row>
    <row r="623" spans="3:3" x14ac:dyDescent="0.15">
      <c r="C623" s="12" t="s">
        <v>42</v>
      </c>
    </row>
    <row r="624" spans="3:3" x14ac:dyDescent="0.15">
      <c r="C624" s="12" t="s">
        <v>42</v>
      </c>
    </row>
    <row r="625" spans="3:3" x14ac:dyDescent="0.15">
      <c r="C625" s="12" t="s">
        <v>42</v>
      </c>
    </row>
    <row r="626" spans="3:3" x14ac:dyDescent="0.15">
      <c r="C626" s="12" t="s">
        <v>42</v>
      </c>
    </row>
    <row r="627" spans="3:3" x14ac:dyDescent="0.15">
      <c r="C627" s="12" t="s">
        <v>42</v>
      </c>
    </row>
    <row r="628" spans="3:3" x14ac:dyDescent="0.15">
      <c r="C628" s="12" t="s">
        <v>42</v>
      </c>
    </row>
    <row r="629" spans="3:3" x14ac:dyDescent="0.15">
      <c r="C629" s="12" t="s">
        <v>42</v>
      </c>
    </row>
    <row r="630" spans="3:3" x14ac:dyDescent="0.15">
      <c r="C630" s="12" t="s">
        <v>42</v>
      </c>
    </row>
    <row r="631" spans="3:3" x14ac:dyDescent="0.15">
      <c r="C631" s="12" t="s">
        <v>42</v>
      </c>
    </row>
    <row r="632" spans="3:3" x14ac:dyDescent="0.15">
      <c r="C632" s="12" t="s">
        <v>42</v>
      </c>
    </row>
    <row r="633" spans="3:3" x14ac:dyDescent="0.15">
      <c r="C633" s="12" t="s">
        <v>42</v>
      </c>
    </row>
    <row r="634" spans="3:3" x14ac:dyDescent="0.15">
      <c r="C634" s="12" t="s">
        <v>42</v>
      </c>
    </row>
    <row r="635" spans="3:3" x14ac:dyDescent="0.15">
      <c r="C635" s="12" t="s">
        <v>42</v>
      </c>
    </row>
    <row r="636" spans="3:3" x14ac:dyDescent="0.15">
      <c r="C636" s="12" t="s">
        <v>42</v>
      </c>
    </row>
    <row r="637" spans="3:3" x14ac:dyDescent="0.15">
      <c r="C637" s="12" t="s">
        <v>42</v>
      </c>
    </row>
    <row r="638" spans="3:3" x14ac:dyDescent="0.15">
      <c r="C638" s="12" t="s">
        <v>42</v>
      </c>
    </row>
    <row r="639" spans="3:3" x14ac:dyDescent="0.15">
      <c r="C639" s="12" t="s">
        <v>42</v>
      </c>
    </row>
    <row r="640" spans="3:3" x14ac:dyDescent="0.15">
      <c r="C640" s="12" t="s">
        <v>42</v>
      </c>
    </row>
    <row r="641" spans="3:3" x14ac:dyDescent="0.15">
      <c r="C641" s="12" t="s">
        <v>42</v>
      </c>
    </row>
    <row r="642" spans="3:3" x14ac:dyDescent="0.15">
      <c r="C642" s="12" t="s">
        <v>42</v>
      </c>
    </row>
    <row r="643" spans="3:3" x14ac:dyDescent="0.15">
      <c r="C643" s="12" t="s">
        <v>42</v>
      </c>
    </row>
    <row r="644" spans="3:3" x14ac:dyDescent="0.15">
      <c r="C644" s="12" t="s">
        <v>42</v>
      </c>
    </row>
    <row r="645" spans="3:3" x14ac:dyDescent="0.15">
      <c r="C645" s="12" t="s">
        <v>42</v>
      </c>
    </row>
    <row r="646" spans="3:3" x14ac:dyDescent="0.15">
      <c r="C646" s="12" t="s">
        <v>42</v>
      </c>
    </row>
    <row r="647" spans="3:3" x14ac:dyDescent="0.15">
      <c r="C647" s="12" t="s">
        <v>42</v>
      </c>
    </row>
    <row r="648" spans="3:3" x14ac:dyDescent="0.15">
      <c r="C648" s="12" t="s">
        <v>42</v>
      </c>
    </row>
    <row r="649" spans="3:3" x14ac:dyDescent="0.15">
      <c r="C649" s="12" t="s">
        <v>42</v>
      </c>
    </row>
    <row r="650" spans="3:3" x14ac:dyDescent="0.15">
      <c r="C650" s="12" t="s">
        <v>42</v>
      </c>
    </row>
    <row r="651" spans="3:3" x14ac:dyDescent="0.15">
      <c r="C651" s="12" t="s">
        <v>42</v>
      </c>
    </row>
    <row r="652" spans="3:3" x14ac:dyDescent="0.15">
      <c r="C652" s="12" t="s">
        <v>42</v>
      </c>
    </row>
    <row r="653" spans="3:3" x14ac:dyDescent="0.15">
      <c r="C653" s="12" t="s">
        <v>42</v>
      </c>
    </row>
    <row r="654" spans="3:3" x14ac:dyDescent="0.15">
      <c r="C654" s="12" t="s">
        <v>42</v>
      </c>
    </row>
    <row r="655" spans="3:3" x14ac:dyDescent="0.15">
      <c r="C655" s="12" t="s">
        <v>42</v>
      </c>
    </row>
    <row r="656" spans="3:3" x14ac:dyDescent="0.15">
      <c r="C656" s="12" t="s">
        <v>42</v>
      </c>
    </row>
    <row r="657" spans="3:3" x14ac:dyDescent="0.15">
      <c r="C657" s="12" t="s">
        <v>42</v>
      </c>
    </row>
    <row r="658" spans="3:3" x14ac:dyDescent="0.15">
      <c r="C658" s="12" t="s">
        <v>42</v>
      </c>
    </row>
    <row r="659" spans="3:3" x14ac:dyDescent="0.15">
      <c r="C659" s="12" t="s">
        <v>42</v>
      </c>
    </row>
    <row r="660" spans="3:3" x14ac:dyDescent="0.15">
      <c r="C660" s="12" t="s">
        <v>42</v>
      </c>
    </row>
    <row r="661" spans="3:3" x14ac:dyDescent="0.15">
      <c r="C661" s="12" t="s">
        <v>42</v>
      </c>
    </row>
    <row r="662" spans="3:3" x14ac:dyDescent="0.15">
      <c r="C662" s="12" t="s">
        <v>42</v>
      </c>
    </row>
    <row r="663" spans="3:3" x14ac:dyDescent="0.15">
      <c r="C663" s="12" t="s">
        <v>42</v>
      </c>
    </row>
    <row r="664" spans="3:3" x14ac:dyDescent="0.15">
      <c r="C664" s="12" t="s">
        <v>42</v>
      </c>
    </row>
    <row r="665" spans="3:3" x14ac:dyDescent="0.15">
      <c r="C665" s="12" t="s">
        <v>42</v>
      </c>
    </row>
    <row r="666" spans="3:3" x14ac:dyDescent="0.15">
      <c r="C666" s="12" t="s">
        <v>42</v>
      </c>
    </row>
    <row r="667" spans="3:3" x14ac:dyDescent="0.15">
      <c r="C667" s="12" t="s">
        <v>42</v>
      </c>
    </row>
    <row r="668" spans="3:3" x14ac:dyDescent="0.15">
      <c r="C668" s="12" t="s">
        <v>42</v>
      </c>
    </row>
    <row r="669" spans="3:3" x14ac:dyDescent="0.15">
      <c r="C669" s="12" t="s">
        <v>42</v>
      </c>
    </row>
    <row r="670" spans="3:3" x14ac:dyDescent="0.15">
      <c r="C670" s="12" t="s">
        <v>42</v>
      </c>
    </row>
    <row r="671" spans="3:3" x14ac:dyDescent="0.15">
      <c r="C671" s="12" t="s">
        <v>42</v>
      </c>
    </row>
    <row r="672" spans="3:3" x14ac:dyDescent="0.15">
      <c r="C672" s="12" t="s">
        <v>42</v>
      </c>
    </row>
    <row r="673" spans="3:3" x14ac:dyDescent="0.15">
      <c r="C673" s="12" t="s">
        <v>42</v>
      </c>
    </row>
    <row r="674" spans="3:3" x14ac:dyDescent="0.15">
      <c r="C674" s="12" t="s">
        <v>42</v>
      </c>
    </row>
    <row r="675" spans="3:3" x14ac:dyDescent="0.15">
      <c r="C675" s="12" t="s">
        <v>42</v>
      </c>
    </row>
    <row r="676" spans="3:3" x14ac:dyDescent="0.15">
      <c r="C676" s="12" t="s">
        <v>42</v>
      </c>
    </row>
    <row r="677" spans="3:3" x14ac:dyDescent="0.15">
      <c r="C677" s="12" t="s">
        <v>42</v>
      </c>
    </row>
    <row r="678" spans="3:3" x14ac:dyDescent="0.15">
      <c r="C678" s="12" t="s">
        <v>42</v>
      </c>
    </row>
    <row r="679" spans="3:3" x14ac:dyDescent="0.15">
      <c r="C679" s="12" t="s">
        <v>42</v>
      </c>
    </row>
    <row r="680" spans="3:3" x14ac:dyDescent="0.15">
      <c r="C680" s="12" t="s">
        <v>42</v>
      </c>
    </row>
    <row r="681" spans="3:3" x14ac:dyDescent="0.15">
      <c r="C681" s="12" t="s">
        <v>42</v>
      </c>
    </row>
    <row r="682" spans="3:3" x14ac:dyDescent="0.15">
      <c r="C682" s="12" t="s">
        <v>42</v>
      </c>
    </row>
    <row r="683" spans="3:3" x14ac:dyDescent="0.15">
      <c r="C683" s="12" t="s">
        <v>42</v>
      </c>
    </row>
    <row r="684" spans="3:3" x14ac:dyDescent="0.15">
      <c r="C684" s="12" t="s">
        <v>42</v>
      </c>
    </row>
    <row r="685" spans="3:3" x14ac:dyDescent="0.15">
      <c r="C685" s="12" t="s">
        <v>42</v>
      </c>
    </row>
    <row r="686" spans="3:3" x14ac:dyDescent="0.15">
      <c r="C686" s="12" t="s">
        <v>42</v>
      </c>
    </row>
    <row r="687" spans="3:3" x14ac:dyDescent="0.15">
      <c r="C687" s="12" t="s">
        <v>42</v>
      </c>
    </row>
    <row r="688" spans="3:3" x14ac:dyDescent="0.15">
      <c r="C688" s="12" t="s">
        <v>42</v>
      </c>
    </row>
    <row r="689" spans="3:3" x14ac:dyDescent="0.15">
      <c r="C689" s="12" t="s">
        <v>42</v>
      </c>
    </row>
    <row r="690" spans="3:3" x14ac:dyDescent="0.15">
      <c r="C690" s="12" t="s">
        <v>42</v>
      </c>
    </row>
    <row r="691" spans="3:3" x14ac:dyDescent="0.15">
      <c r="C691" s="12" t="s">
        <v>42</v>
      </c>
    </row>
    <row r="692" spans="3:3" x14ac:dyDescent="0.15">
      <c r="C692" s="12" t="s">
        <v>42</v>
      </c>
    </row>
    <row r="693" spans="3:3" x14ac:dyDescent="0.15">
      <c r="C693" s="12" t="s">
        <v>42</v>
      </c>
    </row>
    <row r="694" spans="3:3" x14ac:dyDescent="0.15">
      <c r="C694" s="12" t="s">
        <v>42</v>
      </c>
    </row>
    <row r="695" spans="3:3" x14ac:dyDescent="0.15">
      <c r="C695" s="12" t="s">
        <v>42</v>
      </c>
    </row>
    <row r="696" spans="3:3" x14ac:dyDescent="0.15">
      <c r="C696" s="12" t="s">
        <v>42</v>
      </c>
    </row>
    <row r="697" spans="3:3" x14ac:dyDescent="0.15">
      <c r="C697" s="12" t="s">
        <v>42</v>
      </c>
    </row>
    <row r="698" spans="3:3" x14ac:dyDescent="0.15">
      <c r="C698" s="12" t="s">
        <v>42</v>
      </c>
    </row>
    <row r="699" spans="3:3" x14ac:dyDescent="0.15">
      <c r="C699" s="12" t="s">
        <v>42</v>
      </c>
    </row>
    <row r="700" spans="3:3" x14ac:dyDescent="0.15">
      <c r="C700" s="12" t="s">
        <v>42</v>
      </c>
    </row>
    <row r="701" spans="3:3" x14ac:dyDescent="0.15">
      <c r="C701" s="12" t="s">
        <v>42</v>
      </c>
    </row>
    <row r="702" spans="3:3" x14ac:dyDescent="0.15">
      <c r="C702" s="12" t="s">
        <v>42</v>
      </c>
    </row>
    <row r="703" spans="3:3" x14ac:dyDescent="0.15">
      <c r="C703" s="12" t="s">
        <v>42</v>
      </c>
    </row>
    <row r="704" spans="3:3" x14ac:dyDescent="0.15">
      <c r="C704" s="12" t="s">
        <v>42</v>
      </c>
    </row>
    <row r="705" spans="3:3" x14ac:dyDescent="0.15">
      <c r="C705" s="12" t="s">
        <v>42</v>
      </c>
    </row>
    <row r="706" spans="3:3" x14ac:dyDescent="0.15">
      <c r="C706" s="12" t="s">
        <v>42</v>
      </c>
    </row>
    <row r="707" spans="3:3" x14ac:dyDescent="0.15">
      <c r="C707" s="12" t="s">
        <v>42</v>
      </c>
    </row>
    <row r="708" spans="3:3" x14ac:dyDescent="0.15">
      <c r="C708" s="12" t="s">
        <v>42</v>
      </c>
    </row>
    <row r="709" spans="3:3" x14ac:dyDescent="0.15">
      <c r="C709" s="12" t="s">
        <v>42</v>
      </c>
    </row>
    <row r="710" spans="3:3" x14ac:dyDescent="0.15">
      <c r="C710" s="12" t="s">
        <v>42</v>
      </c>
    </row>
    <row r="711" spans="3:3" x14ac:dyDescent="0.15">
      <c r="C711" s="12" t="s">
        <v>42</v>
      </c>
    </row>
    <row r="712" spans="3:3" x14ac:dyDescent="0.15">
      <c r="C712" s="12" t="s">
        <v>42</v>
      </c>
    </row>
    <row r="713" spans="3:3" x14ac:dyDescent="0.15">
      <c r="C713" s="12" t="s">
        <v>42</v>
      </c>
    </row>
    <row r="714" spans="3:3" x14ac:dyDescent="0.15">
      <c r="C714" s="12" t="s">
        <v>42</v>
      </c>
    </row>
    <row r="715" spans="3:3" x14ac:dyDescent="0.15">
      <c r="C715" s="12" t="s">
        <v>42</v>
      </c>
    </row>
    <row r="716" spans="3:3" x14ac:dyDescent="0.15">
      <c r="C716" s="12" t="s">
        <v>42</v>
      </c>
    </row>
    <row r="717" spans="3:3" x14ac:dyDescent="0.15">
      <c r="C717" s="12" t="s">
        <v>42</v>
      </c>
    </row>
    <row r="718" spans="3:3" x14ac:dyDescent="0.15">
      <c r="C718" s="12" t="s">
        <v>42</v>
      </c>
    </row>
    <row r="719" spans="3:3" x14ac:dyDescent="0.15">
      <c r="C719" s="12" t="s">
        <v>42</v>
      </c>
    </row>
    <row r="720" spans="3:3" x14ac:dyDescent="0.15">
      <c r="C720" s="12" t="s">
        <v>42</v>
      </c>
    </row>
    <row r="721" spans="3:3" x14ac:dyDescent="0.15">
      <c r="C721" s="12" t="s">
        <v>42</v>
      </c>
    </row>
    <row r="722" spans="3:3" x14ac:dyDescent="0.15">
      <c r="C722" s="12" t="s">
        <v>42</v>
      </c>
    </row>
    <row r="723" spans="3:3" x14ac:dyDescent="0.15">
      <c r="C723" s="12" t="s">
        <v>42</v>
      </c>
    </row>
    <row r="724" spans="3:3" x14ac:dyDescent="0.15">
      <c r="C724" s="12" t="s">
        <v>42</v>
      </c>
    </row>
    <row r="725" spans="3:3" x14ac:dyDescent="0.15">
      <c r="C725" s="12" t="s">
        <v>42</v>
      </c>
    </row>
    <row r="726" spans="3:3" x14ac:dyDescent="0.15">
      <c r="C726" s="12" t="s">
        <v>42</v>
      </c>
    </row>
    <row r="727" spans="3:3" x14ac:dyDescent="0.15">
      <c r="C727" s="12" t="s">
        <v>42</v>
      </c>
    </row>
    <row r="728" spans="3:3" x14ac:dyDescent="0.15">
      <c r="C728" s="12" t="s">
        <v>42</v>
      </c>
    </row>
    <row r="729" spans="3:3" x14ac:dyDescent="0.15">
      <c r="C729" s="12" t="s">
        <v>42</v>
      </c>
    </row>
    <row r="730" spans="3:3" x14ac:dyDescent="0.15">
      <c r="C730" s="12" t="s">
        <v>42</v>
      </c>
    </row>
    <row r="731" spans="3:3" x14ac:dyDescent="0.15">
      <c r="C731" s="12" t="s">
        <v>42</v>
      </c>
    </row>
    <row r="732" spans="3:3" x14ac:dyDescent="0.15">
      <c r="C732" s="12" t="s">
        <v>42</v>
      </c>
    </row>
    <row r="733" spans="3:3" x14ac:dyDescent="0.15">
      <c r="C733" s="12" t="s">
        <v>42</v>
      </c>
    </row>
    <row r="734" spans="3:3" x14ac:dyDescent="0.15">
      <c r="C734" s="12" t="s">
        <v>42</v>
      </c>
    </row>
    <row r="735" spans="3:3" x14ac:dyDescent="0.15">
      <c r="C735" s="12" t="s">
        <v>42</v>
      </c>
    </row>
    <row r="736" spans="3:3" x14ac:dyDescent="0.15">
      <c r="C736" s="12" t="s">
        <v>42</v>
      </c>
    </row>
    <row r="737" spans="3:3" x14ac:dyDescent="0.15">
      <c r="C737" s="12" t="s">
        <v>42</v>
      </c>
    </row>
    <row r="738" spans="3:3" x14ac:dyDescent="0.15">
      <c r="C738" s="12" t="s">
        <v>42</v>
      </c>
    </row>
    <row r="739" spans="3:3" x14ac:dyDescent="0.15">
      <c r="C739" s="12" t="s">
        <v>42</v>
      </c>
    </row>
    <row r="740" spans="3:3" x14ac:dyDescent="0.15">
      <c r="C740" s="12" t="s">
        <v>42</v>
      </c>
    </row>
    <row r="741" spans="3:3" x14ac:dyDescent="0.15">
      <c r="C741" s="12" t="s">
        <v>42</v>
      </c>
    </row>
    <row r="742" spans="3:3" x14ac:dyDescent="0.15">
      <c r="C742" s="12" t="s">
        <v>42</v>
      </c>
    </row>
    <row r="743" spans="3:3" x14ac:dyDescent="0.15">
      <c r="C743" s="12" t="s">
        <v>42</v>
      </c>
    </row>
    <row r="744" spans="3:3" x14ac:dyDescent="0.15">
      <c r="C744" s="12" t="s">
        <v>42</v>
      </c>
    </row>
    <row r="745" spans="3:3" x14ac:dyDescent="0.15">
      <c r="C745" s="12" t="s">
        <v>42</v>
      </c>
    </row>
    <row r="746" spans="3:3" x14ac:dyDescent="0.15">
      <c r="C746" s="12" t="s">
        <v>42</v>
      </c>
    </row>
    <row r="747" spans="3:3" x14ac:dyDescent="0.15">
      <c r="C747" s="12" t="s">
        <v>42</v>
      </c>
    </row>
    <row r="748" spans="3:3" x14ac:dyDescent="0.15">
      <c r="C748" s="12" t="s">
        <v>42</v>
      </c>
    </row>
    <row r="749" spans="3:3" x14ac:dyDescent="0.15">
      <c r="C749" s="12" t="s">
        <v>42</v>
      </c>
    </row>
    <row r="750" spans="3:3" x14ac:dyDescent="0.15">
      <c r="C750" s="12" t="s">
        <v>42</v>
      </c>
    </row>
    <row r="751" spans="3:3" x14ac:dyDescent="0.15">
      <c r="C751" s="12" t="s">
        <v>42</v>
      </c>
    </row>
    <row r="752" spans="3:3" x14ac:dyDescent="0.15">
      <c r="C752" s="12" t="s">
        <v>42</v>
      </c>
    </row>
    <row r="753" spans="3:3" x14ac:dyDescent="0.15">
      <c r="C753" s="12" t="s">
        <v>42</v>
      </c>
    </row>
    <row r="754" spans="3:3" x14ac:dyDescent="0.15">
      <c r="C754" s="12" t="s">
        <v>42</v>
      </c>
    </row>
    <row r="755" spans="3:3" x14ac:dyDescent="0.15">
      <c r="C755" s="12" t="s">
        <v>42</v>
      </c>
    </row>
    <row r="756" spans="3:3" x14ac:dyDescent="0.15">
      <c r="C756" s="12" t="s">
        <v>42</v>
      </c>
    </row>
    <row r="757" spans="3:3" x14ac:dyDescent="0.15">
      <c r="C757" s="12" t="s">
        <v>42</v>
      </c>
    </row>
    <row r="758" spans="3:3" x14ac:dyDescent="0.15">
      <c r="C758" s="12" t="s">
        <v>42</v>
      </c>
    </row>
    <row r="759" spans="3:3" x14ac:dyDescent="0.15">
      <c r="C759" s="12" t="s">
        <v>42</v>
      </c>
    </row>
    <row r="760" spans="3:3" x14ac:dyDescent="0.15">
      <c r="C760" s="12" t="s">
        <v>42</v>
      </c>
    </row>
    <row r="761" spans="3:3" x14ac:dyDescent="0.15">
      <c r="C761" s="12" t="s">
        <v>42</v>
      </c>
    </row>
    <row r="762" spans="3:3" x14ac:dyDescent="0.15">
      <c r="C762" s="12" t="s">
        <v>42</v>
      </c>
    </row>
    <row r="763" spans="3:3" x14ac:dyDescent="0.15">
      <c r="C763" s="12" t="s">
        <v>42</v>
      </c>
    </row>
    <row r="764" spans="3:3" x14ac:dyDescent="0.15">
      <c r="C764" s="12" t="s">
        <v>42</v>
      </c>
    </row>
    <row r="765" spans="3:3" x14ac:dyDescent="0.15">
      <c r="C765" s="12" t="s">
        <v>42</v>
      </c>
    </row>
    <row r="766" spans="3:3" x14ac:dyDescent="0.15">
      <c r="C766" s="12" t="s">
        <v>42</v>
      </c>
    </row>
    <row r="767" spans="3:3" x14ac:dyDescent="0.15">
      <c r="C767" s="12" t="s">
        <v>42</v>
      </c>
    </row>
    <row r="768" spans="3:3" x14ac:dyDescent="0.15">
      <c r="C768" s="12" t="s">
        <v>42</v>
      </c>
    </row>
    <row r="769" spans="3:3" x14ac:dyDescent="0.15">
      <c r="C769" s="12" t="s">
        <v>42</v>
      </c>
    </row>
    <row r="770" spans="3:3" x14ac:dyDescent="0.15">
      <c r="C770" s="12" t="s">
        <v>42</v>
      </c>
    </row>
    <row r="771" spans="3:3" x14ac:dyDescent="0.15">
      <c r="C771" s="12" t="s">
        <v>42</v>
      </c>
    </row>
    <row r="772" spans="3:3" x14ac:dyDescent="0.15">
      <c r="C772" s="12" t="s">
        <v>42</v>
      </c>
    </row>
    <row r="773" spans="3:3" x14ac:dyDescent="0.15">
      <c r="C773" s="12" t="s">
        <v>42</v>
      </c>
    </row>
    <row r="774" spans="3:3" x14ac:dyDescent="0.15">
      <c r="C774" s="12" t="s">
        <v>42</v>
      </c>
    </row>
    <row r="775" spans="3:3" x14ac:dyDescent="0.15">
      <c r="C775" s="12" t="s">
        <v>42</v>
      </c>
    </row>
    <row r="776" spans="3:3" x14ac:dyDescent="0.15">
      <c r="C776" s="12" t="s">
        <v>42</v>
      </c>
    </row>
    <row r="777" spans="3:3" x14ac:dyDescent="0.15">
      <c r="C777" s="12" t="s">
        <v>42</v>
      </c>
    </row>
    <row r="778" spans="3:3" x14ac:dyDescent="0.15">
      <c r="C778" s="12" t="s">
        <v>42</v>
      </c>
    </row>
    <row r="779" spans="3:3" x14ac:dyDescent="0.15">
      <c r="C779" s="12" t="s">
        <v>42</v>
      </c>
    </row>
    <row r="780" spans="3:3" x14ac:dyDescent="0.15">
      <c r="C780" s="12" t="s">
        <v>42</v>
      </c>
    </row>
    <row r="781" spans="3:3" x14ac:dyDescent="0.15">
      <c r="C781" s="12" t="s">
        <v>42</v>
      </c>
    </row>
    <row r="782" spans="3:3" x14ac:dyDescent="0.15">
      <c r="C782" s="12" t="s">
        <v>42</v>
      </c>
    </row>
    <row r="783" spans="3:3" x14ac:dyDescent="0.15">
      <c r="C783" s="12" t="s">
        <v>42</v>
      </c>
    </row>
    <row r="784" spans="3:3" x14ac:dyDescent="0.15">
      <c r="C784" s="12" t="s">
        <v>42</v>
      </c>
    </row>
    <row r="785" spans="3:3" x14ac:dyDescent="0.15">
      <c r="C785" s="12" t="s">
        <v>42</v>
      </c>
    </row>
    <row r="786" spans="3:3" x14ac:dyDescent="0.15">
      <c r="C786" s="12" t="s">
        <v>42</v>
      </c>
    </row>
    <row r="787" spans="3:3" x14ac:dyDescent="0.15">
      <c r="C787" s="12" t="s">
        <v>42</v>
      </c>
    </row>
    <row r="788" spans="3:3" x14ac:dyDescent="0.15">
      <c r="C788" s="12" t="s">
        <v>42</v>
      </c>
    </row>
    <row r="789" spans="3:3" x14ac:dyDescent="0.15">
      <c r="C789" s="12" t="s">
        <v>42</v>
      </c>
    </row>
    <row r="790" spans="3:3" x14ac:dyDescent="0.15">
      <c r="C790" s="12" t="s">
        <v>42</v>
      </c>
    </row>
    <row r="791" spans="3:3" x14ac:dyDescent="0.15">
      <c r="C791" s="12" t="s">
        <v>42</v>
      </c>
    </row>
    <row r="792" spans="3:3" x14ac:dyDescent="0.15">
      <c r="C792" s="12" t="s">
        <v>42</v>
      </c>
    </row>
    <row r="793" spans="3:3" x14ac:dyDescent="0.15">
      <c r="C793" s="12" t="s">
        <v>42</v>
      </c>
    </row>
    <row r="794" spans="3:3" x14ac:dyDescent="0.15">
      <c r="C794" s="12" t="s">
        <v>42</v>
      </c>
    </row>
    <row r="795" spans="3:3" x14ac:dyDescent="0.15">
      <c r="C795" s="12" t="s">
        <v>42</v>
      </c>
    </row>
    <row r="796" spans="3:3" x14ac:dyDescent="0.15">
      <c r="C796" s="12" t="s">
        <v>42</v>
      </c>
    </row>
    <row r="797" spans="3:3" x14ac:dyDescent="0.15">
      <c r="C797" s="12" t="s">
        <v>42</v>
      </c>
    </row>
    <row r="798" spans="3:3" x14ac:dyDescent="0.15">
      <c r="C798" s="12" t="s">
        <v>42</v>
      </c>
    </row>
    <row r="799" spans="3:3" x14ac:dyDescent="0.15">
      <c r="C799" s="12" t="s">
        <v>42</v>
      </c>
    </row>
    <row r="800" spans="3:3" x14ac:dyDescent="0.15">
      <c r="C800" s="12" t="s">
        <v>42</v>
      </c>
    </row>
    <row r="801" spans="3:3" x14ac:dyDescent="0.15">
      <c r="C801" s="12" t="s">
        <v>42</v>
      </c>
    </row>
    <row r="802" spans="3:3" x14ac:dyDescent="0.15">
      <c r="C802" s="12" t="s">
        <v>42</v>
      </c>
    </row>
    <row r="803" spans="3:3" x14ac:dyDescent="0.15">
      <c r="C803" s="12" t="s">
        <v>42</v>
      </c>
    </row>
    <row r="804" spans="3:3" x14ac:dyDescent="0.15">
      <c r="C804" s="12" t="s">
        <v>42</v>
      </c>
    </row>
    <row r="805" spans="3:3" x14ac:dyDescent="0.15">
      <c r="C805" s="12" t="s">
        <v>42</v>
      </c>
    </row>
    <row r="806" spans="3:3" x14ac:dyDescent="0.15">
      <c r="C806" s="12" t="s">
        <v>42</v>
      </c>
    </row>
    <row r="807" spans="3:3" x14ac:dyDescent="0.15">
      <c r="C807" s="12" t="s">
        <v>42</v>
      </c>
    </row>
    <row r="808" spans="3:3" x14ac:dyDescent="0.15">
      <c r="C808" s="12" t="s">
        <v>42</v>
      </c>
    </row>
    <row r="809" spans="3:3" x14ac:dyDescent="0.15">
      <c r="C809" s="12" t="s">
        <v>42</v>
      </c>
    </row>
    <row r="810" spans="3:3" x14ac:dyDescent="0.15">
      <c r="C810" s="12" t="s">
        <v>42</v>
      </c>
    </row>
    <row r="811" spans="3:3" x14ac:dyDescent="0.15">
      <c r="C811" s="12" t="s">
        <v>42</v>
      </c>
    </row>
    <row r="812" spans="3:3" x14ac:dyDescent="0.15">
      <c r="C812" s="12" t="s">
        <v>42</v>
      </c>
    </row>
    <row r="813" spans="3:3" x14ac:dyDescent="0.15">
      <c r="C813" s="12" t="s">
        <v>42</v>
      </c>
    </row>
    <row r="814" spans="3:3" x14ac:dyDescent="0.15">
      <c r="C814" s="12" t="s">
        <v>42</v>
      </c>
    </row>
    <row r="815" spans="3:3" x14ac:dyDescent="0.15">
      <c r="C815" s="12" t="s">
        <v>42</v>
      </c>
    </row>
    <row r="816" spans="3:3" x14ac:dyDescent="0.15">
      <c r="C816" s="12" t="s">
        <v>42</v>
      </c>
    </row>
    <row r="817" spans="3:3" x14ac:dyDescent="0.15">
      <c r="C817" s="12" t="s">
        <v>42</v>
      </c>
    </row>
    <row r="818" spans="3:3" x14ac:dyDescent="0.15">
      <c r="C818" s="12" t="s">
        <v>42</v>
      </c>
    </row>
    <row r="819" spans="3:3" x14ac:dyDescent="0.15">
      <c r="C819" s="12" t="s">
        <v>42</v>
      </c>
    </row>
    <row r="820" spans="3:3" x14ac:dyDescent="0.15">
      <c r="C820" s="12" t="s">
        <v>42</v>
      </c>
    </row>
    <row r="821" spans="3:3" x14ac:dyDescent="0.15">
      <c r="C821" s="12" t="s">
        <v>42</v>
      </c>
    </row>
    <row r="822" spans="3:3" x14ac:dyDescent="0.15">
      <c r="C822" s="12" t="s">
        <v>42</v>
      </c>
    </row>
    <row r="823" spans="3:3" x14ac:dyDescent="0.15">
      <c r="C823" s="12" t="s">
        <v>42</v>
      </c>
    </row>
    <row r="824" spans="3:3" x14ac:dyDescent="0.15">
      <c r="C824" s="12" t="s">
        <v>42</v>
      </c>
    </row>
    <row r="825" spans="3:3" x14ac:dyDescent="0.15">
      <c r="C825" s="12" t="s">
        <v>42</v>
      </c>
    </row>
    <row r="826" spans="3:3" x14ac:dyDescent="0.15">
      <c r="C826" s="12" t="s">
        <v>42</v>
      </c>
    </row>
    <row r="827" spans="3:3" x14ac:dyDescent="0.15">
      <c r="C827" s="12" t="s">
        <v>42</v>
      </c>
    </row>
    <row r="828" spans="3:3" x14ac:dyDescent="0.15">
      <c r="C828" s="12" t="s">
        <v>42</v>
      </c>
    </row>
    <row r="829" spans="3:3" x14ac:dyDescent="0.15">
      <c r="C829" s="12" t="s">
        <v>42</v>
      </c>
    </row>
    <row r="830" spans="3:3" x14ac:dyDescent="0.15">
      <c r="C830" s="12" t="s">
        <v>42</v>
      </c>
    </row>
    <row r="831" spans="3:3" x14ac:dyDescent="0.15">
      <c r="C831" s="12" t="s">
        <v>42</v>
      </c>
    </row>
    <row r="832" spans="3:3" x14ac:dyDescent="0.15">
      <c r="C832" s="12" t="s">
        <v>42</v>
      </c>
    </row>
    <row r="833" spans="3:3" x14ac:dyDescent="0.15">
      <c r="C833" s="12" t="s">
        <v>42</v>
      </c>
    </row>
    <row r="834" spans="3:3" x14ac:dyDescent="0.15">
      <c r="C834" s="12" t="s">
        <v>42</v>
      </c>
    </row>
    <row r="835" spans="3:3" x14ac:dyDescent="0.15">
      <c r="C835" s="12" t="s">
        <v>42</v>
      </c>
    </row>
    <row r="836" spans="3:3" x14ac:dyDescent="0.15">
      <c r="C836" s="12" t="s">
        <v>42</v>
      </c>
    </row>
    <row r="837" spans="3:3" x14ac:dyDescent="0.15">
      <c r="C837" s="12" t="s">
        <v>42</v>
      </c>
    </row>
    <row r="838" spans="3:3" x14ac:dyDescent="0.15">
      <c r="C838" s="12" t="s">
        <v>42</v>
      </c>
    </row>
    <row r="839" spans="3:3" x14ac:dyDescent="0.15">
      <c r="C839" s="12" t="s">
        <v>42</v>
      </c>
    </row>
    <row r="840" spans="3:3" x14ac:dyDescent="0.15">
      <c r="C840" s="12" t="s">
        <v>42</v>
      </c>
    </row>
    <row r="841" spans="3:3" x14ac:dyDescent="0.15">
      <c r="C841" s="12" t="s">
        <v>42</v>
      </c>
    </row>
    <row r="842" spans="3:3" x14ac:dyDescent="0.15">
      <c r="C842" s="12" t="s">
        <v>42</v>
      </c>
    </row>
    <row r="843" spans="3:3" x14ac:dyDescent="0.15">
      <c r="C843" s="12" t="s">
        <v>42</v>
      </c>
    </row>
    <row r="844" spans="3:3" x14ac:dyDescent="0.15">
      <c r="C844" s="12" t="s">
        <v>42</v>
      </c>
    </row>
    <row r="845" spans="3:3" x14ac:dyDescent="0.15">
      <c r="C845" s="12" t="s">
        <v>42</v>
      </c>
    </row>
    <row r="846" spans="3:3" x14ac:dyDescent="0.15">
      <c r="C846" s="12" t="s">
        <v>42</v>
      </c>
    </row>
    <row r="847" spans="3:3" x14ac:dyDescent="0.15">
      <c r="C847" s="12" t="s">
        <v>42</v>
      </c>
    </row>
    <row r="848" spans="3:3" x14ac:dyDescent="0.15">
      <c r="C848" s="12" t="s">
        <v>42</v>
      </c>
    </row>
    <row r="849" spans="3:3" x14ac:dyDescent="0.15">
      <c r="C849" s="12" t="s">
        <v>42</v>
      </c>
    </row>
    <row r="850" spans="3:3" x14ac:dyDescent="0.15">
      <c r="C850" s="12" t="s">
        <v>42</v>
      </c>
    </row>
    <row r="851" spans="3:3" x14ac:dyDescent="0.15">
      <c r="C851" s="12" t="s">
        <v>42</v>
      </c>
    </row>
    <row r="852" spans="3:3" x14ac:dyDescent="0.15">
      <c r="C852" s="12" t="s">
        <v>42</v>
      </c>
    </row>
    <row r="853" spans="3:3" x14ac:dyDescent="0.15">
      <c r="C853" s="12" t="s">
        <v>42</v>
      </c>
    </row>
    <row r="854" spans="3:3" x14ac:dyDescent="0.15">
      <c r="C854" s="12" t="s">
        <v>42</v>
      </c>
    </row>
    <row r="855" spans="3:3" x14ac:dyDescent="0.15">
      <c r="C855" s="12" t="s">
        <v>42</v>
      </c>
    </row>
    <row r="856" spans="3:3" x14ac:dyDescent="0.15">
      <c r="C856" s="12" t="s">
        <v>42</v>
      </c>
    </row>
    <row r="857" spans="3:3" x14ac:dyDescent="0.15">
      <c r="C857" s="12" t="s">
        <v>42</v>
      </c>
    </row>
    <row r="858" spans="3:3" x14ac:dyDescent="0.15">
      <c r="C858" s="12" t="s">
        <v>42</v>
      </c>
    </row>
    <row r="859" spans="3:3" x14ac:dyDescent="0.15">
      <c r="C859" s="12" t="s">
        <v>42</v>
      </c>
    </row>
    <row r="860" spans="3:3" x14ac:dyDescent="0.15">
      <c r="C860" s="12" t="s">
        <v>42</v>
      </c>
    </row>
    <row r="861" spans="3:3" x14ac:dyDescent="0.15">
      <c r="C861" s="12" t="s">
        <v>42</v>
      </c>
    </row>
    <row r="862" spans="3:3" x14ac:dyDescent="0.15">
      <c r="C862" s="12" t="s">
        <v>42</v>
      </c>
    </row>
    <row r="863" spans="3:3" x14ac:dyDescent="0.15">
      <c r="C863" s="12" t="s">
        <v>42</v>
      </c>
    </row>
    <row r="864" spans="3:3" x14ac:dyDescent="0.15">
      <c r="C864" s="12" t="s">
        <v>42</v>
      </c>
    </row>
    <row r="865" spans="3:3" x14ac:dyDescent="0.15">
      <c r="C865" s="12" t="s">
        <v>42</v>
      </c>
    </row>
    <row r="866" spans="3:3" x14ac:dyDescent="0.15">
      <c r="C866" s="12" t="s">
        <v>42</v>
      </c>
    </row>
    <row r="867" spans="3:3" x14ac:dyDescent="0.15">
      <c r="C867" s="12" t="s">
        <v>42</v>
      </c>
    </row>
    <row r="868" spans="3:3" x14ac:dyDescent="0.15">
      <c r="C868" s="12" t="s">
        <v>42</v>
      </c>
    </row>
    <row r="869" spans="3:3" x14ac:dyDescent="0.15">
      <c r="C869" s="12" t="s">
        <v>42</v>
      </c>
    </row>
    <row r="870" spans="3:3" x14ac:dyDescent="0.15">
      <c r="C870" s="12" t="s">
        <v>42</v>
      </c>
    </row>
    <row r="871" spans="3:3" x14ac:dyDescent="0.15">
      <c r="C871" s="12" t="s">
        <v>42</v>
      </c>
    </row>
    <row r="872" spans="3:3" x14ac:dyDescent="0.15">
      <c r="C872" s="12" t="s">
        <v>42</v>
      </c>
    </row>
    <row r="873" spans="3:3" x14ac:dyDescent="0.15">
      <c r="C873" s="12" t="s">
        <v>42</v>
      </c>
    </row>
    <row r="874" spans="3:3" x14ac:dyDescent="0.15">
      <c r="C874" s="12" t="s">
        <v>42</v>
      </c>
    </row>
    <row r="875" spans="3:3" x14ac:dyDescent="0.15">
      <c r="C875" s="12" t="s">
        <v>42</v>
      </c>
    </row>
    <row r="876" spans="3:3" x14ac:dyDescent="0.15">
      <c r="C876" s="12" t="s">
        <v>42</v>
      </c>
    </row>
    <row r="877" spans="3:3" x14ac:dyDescent="0.15">
      <c r="C877" s="12" t="s">
        <v>42</v>
      </c>
    </row>
    <row r="878" spans="3:3" x14ac:dyDescent="0.15">
      <c r="C878" s="12" t="s">
        <v>42</v>
      </c>
    </row>
    <row r="879" spans="3:3" x14ac:dyDescent="0.15">
      <c r="C879" s="12" t="s">
        <v>42</v>
      </c>
    </row>
    <row r="880" spans="3:3" x14ac:dyDescent="0.15">
      <c r="C880" s="12" t="s">
        <v>42</v>
      </c>
    </row>
    <row r="881" spans="3:3" x14ac:dyDescent="0.15">
      <c r="C881" s="12" t="s">
        <v>42</v>
      </c>
    </row>
    <row r="882" spans="3:3" x14ac:dyDescent="0.15">
      <c r="C882" s="12" t="s">
        <v>42</v>
      </c>
    </row>
    <row r="883" spans="3:3" x14ac:dyDescent="0.15">
      <c r="C883" s="12" t="s">
        <v>42</v>
      </c>
    </row>
    <row r="884" spans="3:3" x14ac:dyDescent="0.15">
      <c r="C884" s="12" t="s">
        <v>42</v>
      </c>
    </row>
    <row r="885" spans="3:3" x14ac:dyDescent="0.15">
      <c r="C885" s="12" t="s">
        <v>42</v>
      </c>
    </row>
    <row r="886" spans="3:3" x14ac:dyDescent="0.15">
      <c r="C886" s="12" t="s">
        <v>42</v>
      </c>
    </row>
    <row r="887" spans="3:3" x14ac:dyDescent="0.15">
      <c r="C887" s="12" t="s">
        <v>42</v>
      </c>
    </row>
    <row r="888" spans="3:3" x14ac:dyDescent="0.15">
      <c r="C888" s="12" t="s">
        <v>42</v>
      </c>
    </row>
    <row r="889" spans="3:3" x14ac:dyDescent="0.15">
      <c r="C889" s="12" t="s">
        <v>42</v>
      </c>
    </row>
    <row r="890" spans="3:3" x14ac:dyDescent="0.15">
      <c r="C890" s="12" t="s">
        <v>42</v>
      </c>
    </row>
    <row r="891" spans="3:3" x14ac:dyDescent="0.15">
      <c r="C891" s="12" t="s">
        <v>42</v>
      </c>
    </row>
    <row r="892" spans="3:3" x14ac:dyDescent="0.15">
      <c r="C892" s="12" t="s">
        <v>42</v>
      </c>
    </row>
    <row r="893" spans="3:3" x14ac:dyDescent="0.15">
      <c r="C893" s="12" t="s">
        <v>42</v>
      </c>
    </row>
    <row r="894" spans="3:3" x14ac:dyDescent="0.15">
      <c r="C894" s="12" t="s">
        <v>42</v>
      </c>
    </row>
    <row r="895" spans="3:3" x14ac:dyDescent="0.15">
      <c r="C895" s="12" t="s">
        <v>42</v>
      </c>
    </row>
    <row r="896" spans="3:3" x14ac:dyDescent="0.15">
      <c r="C896" s="12" t="s">
        <v>42</v>
      </c>
    </row>
    <row r="897" spans="3:3" x14ac:dyDescent="0.15">
      <c r="C897" s="12" t="s">
        <v>42</v>
      </c>
    </row>
    <row r="898" spans="3:3" x14ac:dyDescent="0.15">
      <c r="C898" s="12" t="s">
        <v>42</v>
      </c>
    </row>
    <row r="899" spans="3:3" x14ac:dyDescent="0.15">
      <c r="C899" s="12" t="s">
        <v>42</v>
      </c>
    </row>
    <row r="900" spans="3:3" x14ac:dyDescent="0.15">
      <c r="C900" s="12" t="s">
        <v>42</v>
      </c>
    </row>
    <row r="901" spans="3:3" x14ac:dyDescent="0.15">
      <c r="C901" s="12" t="s">
        <v>42</v>
      </c>
    </row>
    <row r="902" spans="3:3" x14ac:dyDescent="0.15">
      <c r="C902" s="12" t="s">
        <v>42</v>
      </c>
    </row>
    <row r="903" spans="3:3" x14ac:dyDescent="0.15">
      <c r="C903" s="12" t="s">
        <v>42</v>
      </c>
    </row>
    <row r="904" spans="3:3" x14ac:dyDescent="0.15">
      <c r="C904" s="12" t="s">
        <v>42</v>
      </c>
    </row>
    <row r="905" spans="3:3" x14ac:dyDescent="0.15">
      <c r="C905" s="12" t="s">
        <v>42</v>
      </c>
    </row>
    <row r="906" spans="3:3" x14ac:dyDescent="0.15">
      <c r="C906" s="12" t="s">
        <v>42</v>
      </c>
    </row>
    <row r="907" spans="3:3" x14ac:dyDescent="0.15">
      <c r="C907" s="12" t="s">
        <v>42</v>
      </c>
    </row>
    <row r="908" spans="3:3" x14ac:dyDescent="0.15">
      <c r="C908" s="12" t="s">
        <v>42</v>
      </c>
    </row>
    <row r="909" spans="3:3" x14ac:dyDescent="0.15">
      <c r="C909" s="12" t="s">
        <v>42</v>
      </c>
    </row>
    <row r="910" spans="3:3" x14ac:dyDescent="0.15">
      <c r="C910" s="12" t="s">
        <v>42</v>
      </c>
    </row>
    <row r="911" spans="3:3" x14ac:dyDescent="0.15">
      <c r="C911" s="12" t="s">
        <v>42</v>
      </c>
    </row>
    <row r="912" spans="3:3" x14ac:dyDescent="0.15">
      <c r="C912" s="12" t="s">
        <v>42</v>
      </c>
    </row>
    <row r="913" spans="3:3" x14ac:dyDescent="0.15">
      <c r="C913" s="12" t="s">
        <v>42</v>
      </c>
    </row>
    <row r="914" spans="3:3" x14ac:dyDescent="0.15">
      <c r="C914" s="12" t="s">
        <v>42</v>
      </c>
    </row>
    <row r="915" spans="3:3" x14ac:dyDescent="0.15">
      <c r="C915" s="12" t="s">
        <v>42</v>
      </c>
    </row>
    <row r="916" spans="3:3" x14ac:dyDescent="0.15">
      <c r="C916" s="12" t="s">
        <v>42</v>
      </c>
    </row>
    <row r="917" spans="3:3" x14ac:dyDescent="0.15">
      <c r="C917" s="12" t="s">
        <v>42</v>
      </c>
    </row>
  </sheetData>
  <phoneticPr fontId="1" type="noConversion"/>
  <pageMargins left="0.7" right="0.7" top="0.75" bottom="0.75" header="0.3" footer="0.3"/>
  <pageSetup paperSize="9" orientation="portrait" horizontalDpi="300" r:id="rId1"/>
  <drawing r:id="rId2"/>
  <legacyDrawing r:id="rId3"/>
  <controls>
    <mc:AlternateContent xmlns:mc="http://schemas.openxmlformats.org/markup-compatibility/2006">
      <mc:Choice Requires="x14">
        <control shapeId="2057" r:id="rId4" name="CommandButton2">
          <controlPr autoLine="0" r:id="rId5">
            <anchor moveWithCells="1">
              <from>
                <xdr:col>2</xdr:col>
                <xdr:colOff>314325</xdr:colOff>
                <xdr:row>0</xdr:row>
                <xdr:rowOff>304800</xdr:rowOff>
              </from>
              <to>
                <xdr:col>2</xdr:col>
                <xdr:colOff>2181225</xdr:colOff>
                <xdr:row>3</xdr:row>
                <xdr:rowOff>66675</xdr:rowOff>
              </to>
            </anchor>
          </controlPr>
        </control>
      </mc:Choice>
      <mc:Fallback>
        <control shapeId="2057" r:id="rId4" name="CommandButton2"/>
      </mc:Fallback>
    </mc:AlternateContent>
    <mc:AlternateContent xmlns:mc="http://schemas.openxmlformats.org/markup-compatibility/2006">
      <mc:Choice Requires="x14">
        <control shapeId="2056" r:id="rId6" name="CommandButton1">
          <controlPr autoLine="0" r:id="rId7">
            <anchor moveWithCells="1">
              <from>
                <xdr:col>3</xdr:col>
                <xdr:colOff>0</xdr:colOff>
                <xdr:row>0</xdr:row>
                <xdr:rowOff>228600</xdr:rowOff>
              </from>
              <to>
                <xdr:col>4</xdr:col>
                <xdr:colOff>933450</xdr:colOff>
                <xdr:row>2</xdr:row>
                <xdr:rowOff>142875</xdr:rowOff>
              </to>
            </anchor>
          </controlPr>
        </control>
      </mc:Choice>
      <mc:Fallback>
        <control shapeId="2056" r:id="rId6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G161"/>
  <sheetViews>
    <sheetView zoomScale="115" zoomScaleNormal="115" workbookViewId="0">
      <pane xSplit="1" ySplit="5" topLeftCell="B138" activePane="bottomRight" state="frozen"/>
      <selection pane="topRight" activeCell="B1" sqref="B1"/>
      <selection pane="bottomLeft" activeCell="A6" sqref="A6"/>
      <selection pane="bottomRight" activeCell="A171" sqref="A171"/>
    </sheetView>
  </sheetViews>
  <sheetFormatPr defaultRowHeight="13.5" x14ac:dyDescent="0.15"/>
  <cols>
    <col min="1" max="1" width="79.875" customWidth="1"/>
    <col min="2" max="2" width="20.5" customWidth="1"/>
    <col min="3" max="3" width="11.25" customWidth="1"/>
    <col min="5" max="5" width="11" bestFit="1" customWidth="1"/>
  </cols>
  <sheetData>
    <row r="1" spans="1:7" x14ac:dyDescent="0.15">
      <c r="A1" s="2" t="s">
        <v>50</v>
      </c>
      <c r="B1" s="2" t="s">
        <v>85</v>
      </c>
      <c r="C1" s="2"/>
    </row>
    <row r="2" spans="1:7" x14ac:dyDescent="0.15">
      <c r="A2" s="2" t="s">
        <v>51</v>
      </c>
      <c r="B2" s="2" t="s">
        <v>85</v>
      </c>
      <c r="E2" t="s">
        <v>15</v>
      </c>
      <c r="F2" s="10">
        <f>表的具体内容!F2</f>
        <v>8</v>
      </c>
      <c r="G2" s="10"/>
    </row>
    <row r="3" spans="1:7" x14ac:dyDescent="0.15">
      <c r="A3" s="2" t="s">
        <v>52</v>
      </c>
      <c r="B3" s="2" t="s">
        <v>85</v>
      </c>
      <c r="E3" t="s">
        <v>17</v>
      </c>
      <c r="F3" s="10">
        <f>表的具体内容!F3</f>
        <v>31</v>
      </c>
      <c r="G3" s="10"/>
    </row>
    <row r="4" spans="1:7" x14ac:dyDescent="0.15">
      <c r="A4" s="2" t="s">
        <v>53</v>
      </c>
      <c r="B4" s="2" t="s">
        <v>85</v>
      </c>
      <c r="E4" s="2" t="s">
        <v>21</v>
      </c>
      <c r="F4" s="2" t="str">
        <f ca="1">LEFT(CELL("filename"),FIND("\[",CELL("filename")))</f>
        <v>C:\Users\LLM\Documents\My RTX Files\liliming\</v>
      </c>
    </row>
    <row r="5" spans="1:7" x14ac:dyDescent="0.15">
      <c r="A5" s="2" t="s">
        <v>205</v>
      </c>
      <c r="B5" s="2" t="s">
        <v>85</v>
      </c>
    </row>
    <row r="6" spans="1:7" x14ac:dyDescent="0.15">
      <c r="A6" s="2" t="s">
        <v>206</v>
      </c>
      <c r="B6" s="2" t="s">
        <v>85</v>
      </c>
    </row>
    <row r="7" spans="1:7" x14ac:dyDescent="0.15">
      <c r="A7" s="2" t="s">
        <v>207</v>
      </c>
      <c r="B7" s="2" t="s">
        <v>85</v>
      </c>
    </row>
    <row r="8" spans="1:7" x14ac:dyDescent="0.15">
      <c r="A8" s="2" t="s">
        <v>208</v>
      </c>
      <c r="B8" s="4" t="s">
        <v>85</v>
      </c>
    </row>
    <row r="9" spans="1:7" x14ac:dyDescent="0.15">
      <c r="A9" s="2" t="s">
        <v>209</v>
      </c>
      <c r="B9" s="4" t="s">
        <v>85</v>
      </c>
    </row>
    <row r="10" spans="1:7" x14ac:dyDescent="0.15">
      <c r="A10" s="2" t="s">
        <v>210</v>
      </c>
      <c r="B10" s="4" t="s">
        <v>85</v>
      </c>
    </row>
    <row r="11" spans="1:7" x14ac:dyDescent="0.15">
      <c r="A11" s="2" t="s">
        <v>211</v>
      </c>
      <c r="B11" s="4" t="s">
        <v>85</v>
      </c>
    </row>
    <row r="12" spans="1:7" x14ac:dyDescent="0.15">
      <c r="A12" s="2" t="s">
        <v>212</v>
      </c>
      <c r="B12" s="4" t="s">
        <v>85</v>
      </c>
      <c r="F12" s="2" t="str">
        <f ca="1">LEFT(CELL("filename"),FIND("[",CELL("filename"))-2)</f>
        <v>C:\Users\LLM\Documents\My RTX Files\liliming</v>
      </c>
    </row>
    <row r="13" spans="1:7" x14ac:dyDescent="0.15">
      <c r="A13" s="2" t="s">
        <v>79</v>
      </c>
      <c r="B13" s="4" t="s">
        <v>85</v>
      </c>
    </row>
    <row r="14" spans="1:7" x14ac:dyDescent="0.15">
      <c r="A14" s="2" t="s">
        <v>54</v>
      </c>
      <c r="B14" s="4" t="s">
        <v>85</v>
      </c>
    </row>
    <row r="15" spans="1:7" x14ac:dyDescent="0.15">
      <c r="A15" s="2" t="s">
        <v>213</v>
      </c>
      <c r="B15" s="4" t="s">
        <v>85</v>
      </c>
    </row>
    <row r="16" spans="1:7" x14ac:dyDescent="0.15">
      <c r="A16" s="2" t="s">
        <v>206</v>
      </c>
      <c r="B16" s="4" t="s">
        <v>85</v>
      </c>
    </row>
    <row r="17" spans="1:6" x14ac:dyDescent="0.15">
      <c r="A17" s="2" t="s">
        <v>207</v>
      </c>
      <c r="B17" s="4" t="s">
        <v>85</v>
      </c>
    </row>
    <row r="18" spans="1:6" x14ac:dyDescent="0.15">
      <c r="A18" s="2" t="s">
        <v>79</v>
      </c>
      <c r="B18" s="4" t="s">
        <v>85</v>
      </c>
    </row>
    <row r="19" spans="1:6" x14ac:dyDescent="0.15">
      <c r="A19" s="2" t="s">
        <v>54</v>
      </c>
      <c r="B19" s="4" t="s">
        <v>85</v>
      </c>
    </row>
    <row r="20" spans="1:6" x14ac:dyDescent="0.15">
      <c r="A20" s="2" t="s">
        <v>214</v>
      </c>
      <c r="B20" s="4" t="s">
        <v>85</v>
      </c>
      <c r="C20" s="2"/>
    </row>
    <row r="21" spans="1:6" x14ac:dyDescent="0.15">
      <c r="A21" s="2" t="s">
        <v>206</v>
      </c>
      <c r="B21" s="2" t="s">
        <v>85</v>
      </c>
      <c r="C21" s="2"/>
      <c r="D21" s="2"/>
      <c r="E21" s="2"/>
      <c r="F21" s="2"/>
    </row>
    <row r="22" spans="1:6" x14ac:dyDescent="0.15">
      <c r="A22" s="2" t="s">
        <v>207</v>
      </c>
      <c r="B22" s="2" t="s">
        <v>85</v>
      </c>
      <c r="C22" s="2"/>
      <c r="D22" s="2"/>
      <c r="F22" s="2"/>
    </row>
    <row r="23" spans="1:6" x14ac:dyDescent="0.15">
      <c r="A23" s="2" t="s">
        <v>79</v>
      </c>
      <c r="B23" s="2" t="s">
        <v>85</v>
      </c>
      <c r="C23" s="2"/>
      <c r="D23" s="2"/>
      <c r="E23" s="2"/>
      <c r="F23" s="2"/>
    </row>
    <row r="24" spans="1:6" x14ac:dyDescent="0.15">
      <c r="A24" s="2" t="s">
        <v>54</v>
      </c>
      <c r="B24" s="2" t="s">
        <v>85</v>
      </c>
    </row>
    <row r="25" spans="1:6" x14ac:dyDescent="0.15">
      <c r="A25" s="2" t="s">
        <v>215</v>
      </c>
      <c r="B25" s="2" t="s">
        <v>85</v>
      </c>
    </row>
    <row r="26" spans="1:6" x14ac:dyDescent="0.15">
      <c r="A26" s="2" t="s">
        <v>216</v>
      </c>
      <c r="B26" s="2" t="s">
        <v>85</v>
      </c>
    </row>
    <row r="27" spans="1:6" x14ac:dyDescent="0.15">
      <c r="A27" s="2" t="s">
        <v>217</v>
      </c>
      <c r="B27" s="2" t="s">
        <v>85</v>
      </c>
    </row>
    <row r="28" spans="1:6" x14ac:dyDescent="0.15">
      <c r="A28" s="2" t="s">
        <v>218</v>
      </c>
      <c r="B28" s="2" t="s">
        <v>85</v>
      </c>
    </row>
    <row r="29" spans="1:6" x14ac:dyDescent="0.15">
      <c r="A29" s="2" t="s">
        <v>219</v>
      </c>
      <c r="B29" s="2" t="s">
        <v>85</v>
      </c>
    </row>
    <row r="30" spans="1:6" x14ac:dyDescent="0.15">
      <c r="A30" s="2" t="s">
        <v>220</v>
      </c>
      <c r="B30" s="2" t="s">
        <v>85</v>
      </c>
    </row>
    <row r="31" spans="1:6" s="2" customFormat="1" x14ac:dyDescent="0.15">
      <c r="A31" s="2" t="s">
        <v>221</v>
      </c>
    </row>
    <row r="32" spans="1:6" x14ac:dyDescent="0.15">
      <c r="A32" s="2" t="s">
        <v>79</v>
      </c>
    </row>
    <row r="33" spans="1:1" x14ac:dyDescent="0.15">
      <c r="A33" s="2" t="s">
        <v>54</v>
      </c>
    </row>
    <row r="34" spans="1:1" x14ac:dyDescent="0.15">
      <c r="A34" s="2" t="s">
        <v>249</v>
      </c>
    </row>
    <row r="35" spans="1:1" x14ac:dyDescent="0.15">
      <c r="A35" s="2" t="s">
        <v>222</v>
      </c>
    </row>
    <row r="36" spans="1:1" x14ac:dyDescent="0.15">
      <c r="A36" s="2" t="s">
        <v>223</v>
      </c>
    </row>
    <row r="37" spans="1:1" x14ac:dyDescent="0.15">
      <c r="A37" s="2" t="s">
        <v>224</v>
      </c>
    </row>
    <row r="38" spans="1:1" x14ac:dyDescent="0.15">
      <c r="A38" s="2" t="s">
        <v>225</v>
      </c>
    </row>
    <row r="39" spans="1:1" x14ac:dyDescent="0.15">
      <c r="A39" s="2" t="s">
        <v>79</v>
      </c>
    </row>
    <row r="40" spans="1:1" x14ac:dyDescent="0.15">
      <c r="A40" s="2" t="s">
        <v>54</v>
      </c>
    </row>
    <row r="41" spans="1:1" x14ac:dyDescent="0.15">
      <c r="A41" s="2" t="s">
        <v>226</v>
      </c>
    </row>
    <row r="42" spans="1:1" x14ac:dyDescent="0.15">
      <c r="A42" s="2" t="s">
        <v>206</v>
      </c>
    </row>
    <row r="43" spans="1:1" x14ac:dyDescent="0.15">
      <c r="A43" s="2" t="s">
        <v>227</v>
      </c>
    </row>
    <row r="44" spans="1:1" x14ac:dyDescent="0.15">
      <c r="A44" s="2" t="s">
        <v>79</v>
      </c>
    </row>
    <row r="45" spans="1:1" x14ac:dyDescent="0.15">
      <c r="A45" s="2" t="s">
        <v>54</v>
      </c>
    </row>
    <row r="46" spans="1:1" x14ac:dyDescent="0.15">
      <c r="A46" s="2" t="s">
        <v>228</v>
      </c>
    </row>
    <row r="47" spans="1:1" x14ac:dyDescent="0.15">
      <c r="A47" s="2" t="s">
        <v>206</v>
      </c>
    </row>
    <row r="48" spans="1:1" x14ac:dyDescent="0.15">
      <c r="A48" s="2" t="s">
        <v>229</v>
      </c>
    </row>
    <row r="49" spans="1:1" x14ac:dyDescent="0.15">
      <c r="A49" s="2" t="s">
        <v>242</v>
      </c>
    </row>
    <row r="50" spans="1:1" x14ac:dyDescent="0.15">
      <c r="A50" s="2" t="s">
        <v>252</v>
      </c>
    </row>
    <row r="51" spans="1:1" x14ac:dyDescent="0.15">
      <c r="A51" s="2" t="s">
        <v>230</v>
      </c>
    </row>
    <row r="52" spans="1:1" x14ac:dyDescent="0.15">
      <c r="A52" s="2" t="s">
        <v>243</v>
      </c>
    </row>
    <row r="53" spans="1:1" x14ac:dyDescent="0.15">
      <c r="A53" s="2" t="s">
        <v>231</v>
      </c>
    </row>
    <row r="54" spans="1:1" x14ac:dyDescent="0.15">
      <c r="A54" s="2" t="s">
        <v>246</v>
      </c>
    </row>
    <row r="55" spans="1:1" x14ac:dyDescent="0.15">
      <c r="A55" s="2" t="s">
        <v>232</v>
      </c>
    </row>
    <row r="56" spans="1:1" x14ac:dyDescent="0.15">
      <c r="A56" s="2" t="s">
        <v>244</v>
      </c>
    </row>
    <row r="57" spans="1:1" x14ac:dyDescent="0.15">
      <c r="A57" s="2" t="s">
        <v>233</v>
      </c>
    </row>
    <row r="58" spans="1:1" x14ac:dyDescent="0.15">
      <c r="A58" s="2" t="s">
        <v>234</v>
      </c>
    </row>
    <row r="59" spans="1:1" x14ac:dyDescent="0.15">
      <c r="A59" s="2" t="s">
        <v>235</v>
      </c>
    </row>
    <row r="60" spans="1:1" x14ac:dyDescent="0.15">
      <c r="A60" s="2" t="s">
        <v>236</v>
      </c>
    </row>
    <row r="61" spans="1:1" x14ac:dyDescent="0.15">
      <c r="A61" s="2" t="s">
        <v>237</v>
      </c>
    </row>
    <row r="62" spans="1:1" x14ac:dyDescent="0.15">
      <c r="A62" s="2" t="s">
        <v>238</v>
      </c>
    </row>
    <row r="63" spans="1:1" x14ac:dyDescent="0.15">
      <c r="A63" s="2" t="s">
        <v>79</v>
      </c>
    </row>
    <row r="64" spans="1:1" x14ac:dyDescent="0.15">
      <c r="A64" s="2" t="s">
        <v>54</v>
      </c>
    </row>
    <row r="65" spans="1:1" x14ac:dyDescent="0.15">
      <c r="A65" s="2" t="s">
        <v>338</v>
      </c>
    </row>
    <row r="66" spans="1:1" x14ac:dyDescent="0.15">
      <c r="A66" s="2" t="s">
        <v>206</v>
      </c>
    </row>
    <row r="67" spans="1:1" x14ac:dyDescent="0.15">
      <c r="A67" s="2" t="s">
        <v>423</v>
      </c>
    </row>
    <row r="68" spans="1:1" x14ac:dyDescent="0.15">
      <c r="A68" s="2" t="s">
        <v>339</v>
      </c>
    </row>
    <row r="69" spans="1:1" x14ac:dyDescent="0.15">
      <c r="A69" s="2" t="s">
        <v>340</v>
      </c>
    </row>
    <row r="70" spans="1:1" x14ac:dyDescent="0.15">
      <c r="A70" s="2" t="s">
        <v>341</v>
      </c>
    </row>
    <row r="71" spans="1:1" x14ac:dyDescent="0.15">
      <c r="A71" s="2" t="s">
        <v>342</v>
      </c>
    </row>
    <row r="72" spans="1:1" x14ac:dyDescent="0.15">
      <c r="A72" s="2" t="s">
        <v>343</v>
      </c>
    </row>
    <row r="73" spans="1:1" x14ac:dyDescent="0.15">
      <c r="A73" s="2" t="s">
        <v>344</v>
      </c>
    </row>
    <row r="74" spans="1:1" x14ac:dyDescent="0.15">
      <c r="A74" s="2" t="s">
        <v>345</v>
      </c>
    </row>
    <row r="75" spans="1:1" x14ac:dyDescent="0.15">
      <c r="A75" s="2" t="s">
        <v>346</v>
      </c>
    </row>
    <row r="76" spans="1:1" x14ac:dyDescent="0.15">
      <c r="A76" s="2" t="s">
        <v>347</v>
      </c>
    </row>
    <row r="77" spans="1:1" x14ac:dyDescent="0.15">
      <c r="A77" s="2" t="s">
        <v>348</v>
      </c>
    </row>
    <row r="78" spans="1:1" x14ac:dyDescent="0.15">
      <c r="A78" s="2" t="s">
        <v>349</v>
      </c>
    </row>
    <row r="79" spans="1:1" x14ac:dyDescent="0.15">
      <c r="A79" s="2" t="s">
        <v>350</v>
      </c>
    </row>
    <row r="80" spans="1:1" x14ac:dyDescent="0.15">
      <c r="A80" s="2" t="s">
        <v>351</v>
      </c>
    </row>
    <row r="81" spans="1:1" x14ac:dyDescent="0.15">
      <c r="A81" s="2" t="s">
        <v>352</v>
      </c>
    </row>
    <row r="82" spans="1:1" x14ac:dyDescent="0.15">
      <c r="A82" s="2" t="s">
        <v>353</v>
      </c>
    </row>
    <row r="83" spans="1:1" x14ac:dyDescent="0.15">
      <c r="A83" s="2" t="s">
        <v>354</v>
      </c>
    </row>
    <row r="84" spans="1:1" x14ac:dyDescent="0.15">
      <c r="A84" s="2" t="s">
        <v>355</v>
      </c>
    </row>
    <row r="85" spans="1:1" x14ac:dyDescent="0.15">
      <c r="A85" s="2" t="s">
        <v>356</v>
      </c>
    </row>
    <row r="86" spans="1:1" x14ac:dyDescent="0.15">
      <c r="A86" s="2" t="s">
        <v>357</v>
      </c>
    </row>
    <row r="87" spans="1:1" x14ac:dyDescent="0.15">
      <c r="A87" s="2" t="s">
        <v>358</v>
      </c>
    </row>
    <row r="88" spans="1:1" x14ac:dyDescent="0.15">
      <c r="A88" s="2" t="s">
        <v>359</v>
      </c>
    </row>
    <row r="89" spans="1:1" x14ac:dyDescent="0.15">
      <c r="A89" s="2" t="s">
        <v>398</v>
      </c>
    </row>
    <row r="90" spans="1:1" x14ac:dyDescent="0.15">
      <c r="A90" s="2" t="s">
        <v>79</v>
      </c>
    </row>
    <row r="91" spans="1:1" x14ac:dyDescent="0.15">
      <c r="A91" s="2" t="s">
        <v>54</v>
      </c>
    </row>
    <row r="92" spans="1:1" x14ac:dyDescent="0.15">
      <c r="A92" s="2" t="s">
        <v>360</v>
      </c>
    </row>
    <row r="93" spans="1:1" x14ac:dyDescent="0.15">
      <c r="A93" s="2" t="s">
        <v>361</v>
      </c>
    </row>
    <row r="94" spans="1:1" x14ac:dyDescent="0.15">
      <c r="A94" s="2" t="s">
        <v>375</v>
      </c>
    </row>
    <row r="95" spans="1:1" x14ac:dyDescent="0.15">
      <c r="A95" s="2" t="s">
        <v>424</v>
      </c>
    </row>
    <row r="96" spans="1:1" x14ac:dyDescent="0.15">
      <c r="A96" s="2" t="s">
        <v>396</v>
      </c>
    </row>
    <row r="97" spans="1:1" x14ac:dyDescent="0.15">
      <c r="A97" s="2" t="s">
        <v>362</v>
      </c>
    </row>
    <row r="98" spans="1:1" x14ac:dyDescent="0.15">
      <c r="A98" s="2" t="s">
        <v>363</v>
      </c>
    </row>
    <row r="99" spans="1:1" x14ac:dyDescent="0.15">
      <c r="A99" s="2" t="s">
        <v>364</v>
      </c>
    </row>
    <row r="100" spans="1:1" x14ac:dyDescent="0.15">
      <c r="A100" s="2" t="s">
        <v>425</v>
      </c>
    </row>
    <row r="101" spans="1:1" x14ac:dyDescent="0.15">
      <c r="A101" s="2" t="s">
        <v>376</v>
      </c>
    </row>
    <row r="102" spans="1:1" x14ac:dyDescent="0.15">
      <c r="A102" s="2" t="s">
        <v>365</v>
      </c>
    </row>
    <row r="103" spans="1:1" x14ac:dyDescent="0.15">
      <c r="A103" s="2" t="s">
        <v>366</v>
      </c>
    </row>
    <row r="104" spans="1:1" x14ac:dyDescent="0.15">
      <c r="A104" s="2" t="s">
        <v>399</v>
      </c>
    </row>
    <row r="105" spans="1:1" x14ac:dyDescent="0.15">
      <c r="A105" s="2" t="s">
        <v>367</v>
      </c>
    </row>
    <row r="106" spans="1:1" x14ac:dyDescent="0.15">
      <c r="A106" s="2" t="s">
        <v>368</v>
      </c>
    </row>
    <row r="107" spans="1:1" x14ac:dyDescent="0.15">
      <c r="A107" s="2" t="s">
        <v>426</v>
      </c>
    </row>
    <row r="108" spans="1:1" x14ac:dyDescent="0.15">
      <c r="A108" s="2" t="s">
        <v>369</v>
      </c>
    </row>
    <row r="109" spans="1:1" x14ac:dyDescent="0.15">
      <c r="A109" s="2" t="s">
        <v>370</v>
      </c>
    </row>
    <row r="110" spans="1:1" x14ac:dyDescent="0.15">
      <c r="A110" s="2" t="s">
        <v>371</v>
      </c>
    </row>
    <row r="111" spans="1:1" x14ac:dyDescent="0.15">
      <c r="A111" s="2" t="s">
        <v>372</v>
      </c>
    </row>
    <row r="112" spans="1:1" x14ac:dyDescent="0.15">
      <c r="A112" s="2" t="s">
        <v>377</v>
      </c>
    </row>
    <row r="113" spans="1:1" x14ac:dyDescent="0.15">
      <c r="A113" s="2" t="s">
        <v>378</v>
      </c>
    </row>
    <row r="114" spans="1:1" x14ac:dyDescent="0.15">
      <c r="A114" s="2" t="s">
        <v>379</v>
      </c>
    </row>
    <row r="115" spans="1:1" x14ac:dyDescent="0.15">
      <c r="A115" s="2" t="s">
        <v>79</v>
      </c>
    </row>
    <row r="116" spans="1:1" x14ac:dyDescent="0.15">
      <c r="A116" s="2" t="s">
        <v>54</v>
      </c>
    </row>
    <row r="117" spans="1:1" x14ac:dyDescent="0.15">
      <c r="A117" s="2" t="s">
        <v>373</v>
      </c>
    </row>
    <row r="118" spans="1:1" x14ac:dyDescent="0.15">
      <c r="A118" s="2" t="s">
        <v>374</v>
      </c>
    </row>
    <row r="119" spans="1:1" x14ac:dyDescent="0.15">
      <c r="A119" s="2" t="s">
        <v>384</v>
      </c>
    </row>
    <row r="120" spans="1:1" x14ac:dyDescent="0.15">
      <c r="A120" s="2" t="s">
        <v>385</v>
      </c>
    </row>
    <row r="121" spans="1:1" x14ac:dyDescent="0.15">
      <c r="A121" s="2" t="s">
        <v>427</v>
      </c>
    </row>
    <row r="122" spans="1:1" x14ac:dyDescent="0.15">
      <c r="A122" s="2" t="s">
        <v>402</v>
      </c>
    </row>
    <row r="123" spans="1:1" x14ac:dyDescent="0.15">
      <c r="A123" s="2" t="s">
        <v>403</v>
      </c>
    </row>
    <row r="124" spans="1:1" x14ac:dyDescent="0.15">
      <c r="A124" s="2" t="s">
        <v>404</v>
      </c>
    </row>
    <row r="125" spans="1:1" x14ac:dyDescent="0.15">
      <c r="A125" s="2" t="s">
        <v>405</v>
      </c>
    </row>
    <row r="126" spans="1:1" x14ac:dyDescent="0.15">
      <c r="A126" s="2" t="s">
        <v>406</v>
      </c>
    </row>
    <row r="127" spans="1:1" x14ac:dyDescent="0.15">
      <c r="A127" s="2" t="s">
        <v>428</v>
      </c>
    </row>
    <row r="128" spans="1:1" x14ac:dyDescent="0.15">
      <c r="A128" s="2" t="s">
        <v>407</v>
      </c>
    </row>
    <row r="129" spans="1:1" x14ac:dyDescent="0.15">
      <c r="A129" s="2" t="s">
        <v>408</v>
      </c>
    </row>
    <row r="130" spans="1:1" x14ac:dyDescent="0.15">
      <c r="A130" s="2" t="s">
        <v>409</v>
      </c>
    </row>
    <row r="131" spans="1:1" x14ac:dyDescent="0.15">
      <c r="A131" s="2" t="s">
        <v>410</v>
      </c>
    </row>
    <row r="132" spans="1:1" x14ac:dyDescent="0.15">
      <c r="A132" s="2" t="s">
        <v>411</v>
      </c>
    </row>
    <row r="133" spans="1:1" x14ac:dyDescent="0.15">
      <c r="A133" s="2" t="s">
        <v>429</v>
      </c>
    </row>
    <row r="134" spans="1:1" x14ac:dyDescent="0.15">
      <c r="A134" s="2" t="s">
        <v>412</v>
      </c>
    </row>
    <row r="135" spans="1:1" x14ac:dyDescent="0.15">
      <c r="A135" s="2" t="s">
        <v>413</v>
      </c>
    </row>
    <row r="136" spans="1:1" x14ac:dyDescent="0.15">
      <c r="A136" s="2" t="s">
        <v>414</v>
      </c>
    </row>
    <row r="137" spans="1:1" x14ac:dyDescent="0.15">
      <c r="A137" s="2" t="s">
        <v>415</v>
      </c>
    </row>
    <row r="138" spans="1:1" x14ac:dyDescent="0.15">
      <c r="A138" s="2" t="s">
        <v>416</v>
      </c>
    </row>
    <row r="139" spans="1:1" x14ac:dyDescent="0.15">
      <c r="A139" s="2" t="s">
        <v>430</v>
      </c>
    </row>
    <row r="140" spans="1:1" x14ac:dyDescent="0.15">
      <c r="A140" s="2" t="s">
        <v>417</v>
      </c>
    </row>
    <row r="141" spans="1:1" x14ac:dyDescent="0.15">
      <c r="A141" s="2" t="s">
        <v>418</v>
      </c>
    </row>
    <row r="142" spans="1:1" x14ac:dyDescent="0.15">
      <c r="A142" s="2" t="s">
        <v>419</v>
      </c>
    </row>
    <row r="143" spans="1:1" x14ac:dyDescent="0.15">
      <c r="A143" s="2" t="s">
        <v>420</v>
      </c>
    </row>
    <row r="144" spans="1:1" x14ac:dyDescent="0.15">
      <c r="A144" s="2" t="s">
        <v>421</v>
      </c>
    </row>
    <row r="145" spans="1:1" x14ac:dyDescent="0.15">
      <c r="A145" s="2" t="s">
        <v>79</v>
      </c>
    </row>
    <row r="146" spans="1:1" x14ac:dyDescent="0.15">
      <c r="A146" s="2" t="s">
        <v>54</v>
      </c>
    </row>
    <row r="147" spans="1:1" x14ac:dyDescent="0.15">
      <c r="A147" s="2" t="s">
        <v>397</v>
      </c>
    </row>
    <row r="148" spans="1:1" x14ac:dyDescent="0.15">
      <c r="A148" s="2" t="s">
        <v>400</v>
      </c>
    </row>
    <row r="149" spans="1:1" x14ac:dyDescent="0.15">
      <c r="A149" s="2" t="s">
        <v>386</v>
      </c>
    </row>
    <row r="150" spans="1:1" x14ac:dyDescent="0.15">
      <c r="A150" s="2" t="s">
        <v>387</v>
      </c>
    </row>
    <row r="151" spans="1:1" x14ac:dyDescent="0.15">
      <c r="A151" s="2" t="s">
        <v>388</v>
      </c>
    </row>
    <row r="152" spans="1:1" x14ac:dyDescent="0.15">
      <c r="A152" s="2" t="s">
        <v>389</v>
      </c>
    </row>
    <row r="153" spans="1:1" x14ac:dyDescent="0.15">
      <c r="A153" s="2" t="s">
        <v>390</v>
      </c>
    </row>
    <row r="154" spans="1:1" x14ac:dyDescent="0.15">
      <c r="A154" s="2" t="s">
        <v>79</v>
      </c>
    </row>
    <row r="155" spans="1:1" x14ac:dyDescent="0.15">
      <c r="A155" s="2" t="s">
        <v>54</v>
      </c>
    </row>
    <row r="156" spans="1:1" x14ac:dyDescent="0.15">
      <c r="A156" s="2" t="s">
        <v>431</v>
      </c>
    </row>
    <row r="157" spans="1:1" x14ac:dyDescent="0.15">
      <c r="A157" s="2" t="s">
        <v>401</v>
      </c>
    </row>
    <row r="158" spans="1:1" x14ac:dyDescent="0.15">
      <c r="A158" s="2" t="s">
        <v>391</v>
      </c>
    </row>
    <row r="159" spans="1:1" x14ac:dyDescent="0.15">
      <c r="A159" s="2" t="s">
        <v>79</v>
      </c>
    </row>
    <row r="160" spans="1:1" x14ac:dyDescent="0.15">
      <c r="A160" s="2" t="s">
        <v>54</v>
      </c>
    </row>
    <row r="161" spans="1:1" x14ac:dyDescent="0.15">
      <c r="A161" s="2" t="s">
        <v>86</v>
      </c>
    </row>
  </sheetData>
  <phoneticPr fontId="1" type="noConversion"/>
  <pageMargins left="0.7" right="0.7" top="0.75" bottom="0.75" header="0.3" footer="0.3"/>
  <pageSetup paperSize="9" orientation="portrait" horizontalDpi="300" verticalDpi="0" copies="0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autoLine="0" r:id="rId5">
            <anchor moveWithCells="1">
              <from>
                <xdr:col>1</xdr:col>
                <xdr:colOff>104775</xdr:colOff>
                <xdr:row>2</xdr:row>
                <xdr:rowOff>85725</xdr:rowOff>
              </from>
              <to>
                <xdr:col>1</xdr:col>
                <xdr:colOff>1028700</xdr:colOff>
                <xdr:row>4</xdr:row>
                <xdr:rowOff>47625</xdr:rowOff>
              </to>
            </anchor>
          </controlPr>
        </control>
      </mc:Choice>
      <mc:Fallback>
        <control shapeId="3073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函数</vt:lpstr>
      <vt:lpstr>配置</vt:lpstr>
      <vt:lpstr>Script.dat</vt:lpstr>
      <vt:lpstr>新表配置</vt:lpstr>
      <vt:lpstr>表的具体内容</vt:lpstr>
      <vt:lpstr>脚本输出成文件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LLM</cp:lastModifiedBy>
  <dcterms:created xsi:type="dcterms:W3CDTF">2006-09-13T11:21:51Z</dcterms:created>
  <dcterms:modified xsi:type="dcterms:W3CDTF">2015-09-24T07:03:14Z</dcterms:modified>
</cp:coreProperties>
</file>